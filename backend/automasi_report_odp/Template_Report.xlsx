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260"/>
  </bookViews>
  <sheets>
    <sheet name="Report - Occupancy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<sst xmlns="http://schemas.openxmlformats.org/spreadsheetml/2006/main" count="52" uniqueCount="36">
  <si>
    <t>Tracking Occupancy ODP New Golive 2026 - Greenfield</t>
  </si>
  <si>
    <t>WOK</t>
  </si>
  <si>
    <t>Occupancy ODP Greenfield 2026</t>
  </si>
  <si>
    <t>1 Month (Target Occ 15%)</t>
  </si>
  <si>
    <t>2 Month (Target Occ 25%)</t>
  </si>
  <si>
    <t>3 Month (Target Occ 35%)</t>
  </si>
  <si>
    <t>4-6 Month (Target Occ 45%)</t>
  </si>
  <si>
    <t>&gt;6 Month (Target Occ 60%)</t>
  </si>
  <si>
    <t>Total</t>
  </si>
  <si>
    <t>Port</t>
  </si>
  <si>
    <t>Used</t>
  </si>
  <si>
    <t>OCC</t>
  </si>
  <si>
    <t>OCC W-1</t>
  </si>
  <si>
    <t>Gap Wow</t>
  </si>
  <si>
    <t>KEBUMEN</t>
  </si>
  <si>
    <t>MAGELANG TEMANGGUNG</t>
  </si>
  <si>
    <t>BATANG</t>
  </si>
  <si>
    <t>PEMALANG PURBALINGGA</t>
  </si>
  <si>
    <t>TEGAL BREBES</t>
  </si>
  <si>
    <t>CILACAP BANYUMAS</t>
  </si>
  <si>
    <t>WONOSOBO BANJARNEGARA</t>
  </si>
  <si>
    <t>DEMAK</t>
  </si>
  <si>
    <t>JEPARA KUDUS - PATI</t>
  </si>
  <si>
    <t>SEMARANG 1</t>
  </si>
  <si>
    <t>SEMARANG 2</t>
  </si>
  <si>
    <t>BOYOLALI</t>
  </si>
  <si>
    <t>SRAGEN</t>
  </si>
  <si>
    <t>SURAKARTA</t>
  </si>
  <si>
    <t>YOGYA 1</t>
  </si>
  <si>
    <t>YOGYA 2</t>
  </si>
  <si>
    <t>MAGELANG</t>
  </si>
  <si>
    <t>PEKALONGAN</t>
  </si>
  <si>
    <t>PURWOKERTO</t>
  </si>
  <si>
    <t>SEMARANG</t>
  </si>
  <si>
    <t>YOGYAKARTA</t>
  </si>
  <si>
    <t>Jateng DIY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</si>
</sst>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(&quot;Rp&quot;* #,##0_);_(&quot;Rp&quot;* \(#,##0\);_(&quot;Rp&quot;* &quot;-&quot;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dd\-mmm\-yy"/>
    <numFmt numFmtId="181" formatCode="0.0%"/>
  </numFmts>
  <fonts count="26">
    <font>
      <sz val="11"/>
      <color theme="1"/>
      <name val="Aptos Narrow"/>
      <charset val="134"/>
      <scheme val="minor"/>
    </font>
    <font>
      <b/>
      <sz val="11"/>
      <color theme="1"/>
      <name val="Poppins"/>
      <charset val="134"/>
    </font>
    <font>
      <i/>
      <sz val="11"/>
      <color theme="1"/>
      <name val="Aptos Narrow"/>
      <charset val="134"/>
      <scheme val="minor"/>
    </font>
    <font>
      <b/>
      <sz val="9"/>
      <color theme="0"/>
      <name val="Poppins"/>
      <charset val="134"/>
    </font>
    <font>
      <sz val="9"/>
      <color rgb="FF000000"/>
      <name val="Poppins"/>
      <charset val="134"/>
    </font>
    <font>
      <sz val="9"/>
      <color theme="0"/>
      <name val="Poppins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theme="0" tint="-0.349986266670736"/>
      </bottom>
      <diagonal/>
    </border>
    <border>
      <left style="thin">
        <color theme="0" tint="-0.349986266670736"/>
      </left>
      <right style="thin">
        <color theme="0" tint="-0.349986266670736"/>
      </right>
      <top style="thin">
        <color theme="0" tint="-0.349986266670736"/>
      </top>
      <bottom style="thin">
        <color theme="0" tint="-0.349986266670736"/>
      </bottom>
      <diagonal/>
    </border>
    <border>
      <left style="thin">
        <color theme="0" tint="-0.349986266670736"/>
      </left>
      <right/>
      <top/>
      <bottom/>
      <diagonal/>
    </border>
    <border>
      <left style="thin">
        <color theme="0" tint="-0.349986266670736"/>
      </left>
      <right style="thin">
        <color theme="0" tint="-0.349986266670736"/>
      </right>
      <top/>
      <bottom/>
      <diagonal/>
    </border>
    <border>
      <left/>
      <right/>
      <top style="thin">
        <color theme="0" tint="-0.349986266670736"/>
      </top>
      <bottom style="thin">
        <color theme="0" tint="-0.349986266670736"/>
      </bottom>
      <diagonal/>
    </border>
    <border>
      <left/>
      <right style="thin">
        <color theme="0" tint="-0.349986266670736"/>
      </right>
      <top style="thin">
        <color theme="0" tint="-0.349986266670736"/>
      </top>
      <bottom style="thin">
        <color theme="0" tint="-0.349986266670736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0" tint="-0.349986266670736"/>
      </left>
      <right style="thin">
        <color theme="0" tint="-0.349986266670736"/>
      </right>
      <top/>
      <bottom style="thin">
        <color theme="0" tint="-0.349986266670736"/>
      </bottom>
      <diagonal/>
    </border>
    <border>
      <left style="thin">
        <color theme="0" tint="-0.349986266670736"/>
      </left>
      <right/>
      <top style="thin">
        <color theme="0" tint="-0.349986266670736"/>
      </top>
      <bottom style="thin">
        <color theme="0" tint="-0.34998626667073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/>
    <xf numFmtId="177" fontId="6" fillId="0" borderId="0" applyFont="0" applyFill="0" applyBorder="0" applyAlignment="0" applyProtection="0">
      <alignment vertical="center"/>
    </xf>
    <xf numFmtId="9" fontId="0" fillId="0" borderId="0"/>
    <xf numFmtId="178" fontId="6" fillId="0" borderId="0" applyFont="0" applyFill="0" applyBorder="0" applyAlignment="0" applyProtection="0">
      <alignment vertical="center"/>
    </xf>
    <xf numFmtId="179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1" borderId="1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15" applyNumberFormat="0" applyAlignment="0" applyProtection="0">
      <alignment vertical="center"/>
    </xf>
    <xf numFmtId="0" fontId="16" fillId="13" borderId="16" applyNumberFormat="0" applyAlignment="0" applyProtection="0">
      <alignment vertical="center"/>
    </xf>
    <xf numFmtId="0" fontId="17" fillId="13" borderId="15" applyNumberFormat="0" applyAlignment="0" applyProtection="0">
      <alignment vertical="center"/>
    </xf>
    <xf numFmtId="0" fontId="18" fillId="14" borderId="17" applyNumberFormat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</cellStyleXfs>
  <cellXfs count="45">
    <xf numFmtId="0" fontId="0" fillId="0" borderId="0" xfId="0"/>
    <xf numFmtId="0" fontId="1" fillId="2" borderId="0" xfId="0" applyFont="1" applyFill="1"/>
    <xf numFmtId="0" fontId="0" fillId="2" borderId="0" xfId="0" applyFill="1"/>
    <xf numFmtId="180" fontId="2" fillId="2" borderId="1" xfId="0" applyNumberFormat="1" applyFont="1" applyFill="1" applyBorder="1"/>
    <xf numFmtId="0" fontId="3" fillId="3" borderId="2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4" xfId="0" applyBorder="1"/>
    <xf numFmtId="0" fontId="3" fillId="4" borderId="2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3" fillId="4" borderId="7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3" fillId="4" borderId="1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3" fontId="4" fillId="6" borderId="2" xfId="0" applyNumberFormat="1" applyFont="1" applyFill="1" applyBorder="1" applyAlignment="1">
      <alignment horizontal="center" vertical="center"/>
    </xf>
    <xf numFmtId="181" fontId="4" fillId="5" borderId="2" xfId="3" applyNumberFormat="1" applyFont="1" applyFill="1" applyBorder="1" applyAlignment="1">
      <alignment horizontal="center" vertical="center"/>
    </xf>
    <xf numFmtId="181" fontId="4" fillId="5" borderId="11" xfId="3" applyNumberFormat="1" applyFont="1" applyFill="1" applyBorder="1" applyAlignment="1">
      <alignment horizontal="center" vertical="center"/>
    </xf>
    <xf numFmtId="3" fontId="4" fillId="6" borderId="7" xfId="0" applyNumberFormat="1" applyFont="1" applyFill="1" applyBorder="1" applyAlignment="1">
      <alignment horizontal="center" vertical="center"/>
    </xf>
    <xf numFmtId="181" fontId="4" fillId="5" borderId="7" xfId="3" applyNumberFormat="1" applyFont="1" applyFill="1" applyBorder="1" applyAlignment="1">
      <alignment horizontal="center" vertical="center"/>
    </xf>
    <xf numFmtId="10" fontId="4" fillId="5" borderId="7" xfId="3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3" fontId="4" fillId="2" borderId="2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181" fontId="4" fillId="2" borderId="7" xfId="3" applyNumberFormat="1" applyFont="1" applyFill="1" applyBorder="1" applyAlignment="1">
      <alignment horizontal="center" vertical="center"/>
    </xf>
    <xf numFmtId="10" fontId="4" fillId="2" borderId="7" xfId="3" applyNumberFormat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3" fontId="3" fillId="8" borderId="2" xfId="0" applyNumberFormat="1" applyFont="1" applyFill="1" applyBorder="1" applyAlignment="1">
      <alignment horizontal="center" vertical="center"/>
    </xf>
    <xf numFmtId="181" fontId="3" fillId="7" borderId="2" xfId="3" applyNumberFormat="1" applyFont="1" applyFill="1" applyBorder="1" applyAlignment="1">
      <alignment horizontal="center" vertical="center"/>
    </xf>
    <xf numFmtId="3" fontId="3" fillId="8" borderId="4" xfId="0" applyNumberFormat="1" applyFont="1" applyFill="1" applyBorder="1" applyAlignment="1">
      <alignment horizontal="center" vertical="center"/>
    </xf>
    <xf numFmtId="181" fontId="5" fillId="7" borderId="4" xfId="3" applyNumberFormat="1" applyFont="1" applyFill="1" applyBorder="1" applyAlignment="1">
      <alignment horizontal="center" vertical="center"/>
    </xf>
    <xf numFmtId="181" fontId="5" fillId="7" borderId="0" xfId="3" applyNumberFormat="1" applyFont="1" applyFill="1" applyAlignment="1">
      <alignment horizontal="center" vertical="center"/>
    </xf>
    <xf numFmtId="10" fontId="5" fillId="7" borderId="0" xfId="3" applyNumberFormat="1" applyFont="1" applyFill="1" applyAlignment="1">
      <alignment horizontal="center" vertical="center"/>
    </xf>
    <xf numFmtId="0" fontId="4" fillId="5" borderId="2" xfId="0" applyFont="1" applyFill="1" applyBorder="1" applyAlignment="1">
      <alignment vertical="center"/>
    </xf>
    <xf numFmtId="181" fontId="4" fillId="2" borderId="2" xfId="3" applyNumberFormat="1" applyFont="1" applyFill="1" applyBorder="1" applyAlignment="1">
      <alignment horizontal="center" vertical="center"/>
    </xf>
    <xf numFmtId="181" fontId="4" fillId="2" borderId="11" xfId="3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0" fontId="3" fillId="9" borderId="2" xfId="0" applyFont="1" applyFill="1" applyBorder="1" applyAlignment="1">
      <alignment horizontal="left" vertical="center"/>
    </xf>
    <xf numFmtId="3" fontId="3" fillId="10" borderId="2" xfId="0" applyNumberFormat="1" applyFont="1" applyFill="1" applyBorder="1" applyAlignment="1">
      <alignment horizontal="center" vertical="center"/>
    </xf>
    <xf numFmtId="181" fontId="3" fillId="9" borderId="2" xfId="3" applyNumberFormat="1" applyFont="1" applyFill="1" applyBorder="1" applyAlignment="1">
      <alignment horizontal="center" vertical="center"/>
    </xf>
    <xf numFmtId="181" fontId="3" fillId="9" borderId="11" xfId="3" applyNumberFormat="1" applyFont="1" applyFill="1" applyBorder="1" applyAlignment="1">
      <alignment horizontal="center" vertical="center"/>
    </xf>
    <xf numFmtId="3" fontId="3" fillId="10" borderId="7" xfId="0" applyNumberFormat="1" applyFont="1" applyFill="1" applyBorder="1" applyAlignment="1">
      <alignment horizontal="center" vertical="center"/>
    </xf>
    <xf numFmtId="181" fontId="3" fillId="9" borderId="7" xfId="3" applyNumberFormat="1" applyFont="1" applyFill="1" applyBorder="1" applyAlignment="1">
      <alignment horizontal="center" vertical="center"/>
    </xf>
    <xf numFmtId="10" fontId="3" fillId="9" borderId="7" xfId="3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ivot Occ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V29"/>
  <sheetViews>
    <sheetView tabSelected="1" zoomScale="69" zoomScaleNormal="69" workbookViewId="0">
      <selection activeCell="V2" sqref="V2"/>
    </sheetView>
  </sheetViews>
  <sheetFormatPr defaultColWidth="9" defaultRowHeight="14"/>
  <cols>
    <col min="2" max="2" width="28.8166666666667" customWidth="1"/>
    <col min="3" max="20" width="8.81666666666667" customWidth="1"/>
    <col min="21" max="21" width="8.725" customWidth="1" outlineLevel="1"/>
    <col min="22" max="22" width="10.2666666666667" customWidth="1"/>
  </cols>
  <sheetData>
    <row r="2" ht="21.5" customHeight="1" spans="2:22">
      <c r="B2" s="1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3"/>
    </row>
    <row r="3" ht="17" customHeight="1" spans="2:22">
      <c r="B3" s="4" t="s">
        <v>1</v>
      </c>
      <c r="C3" s="5" t="s">
        <v>2</v>
      </c>
    </row>
    <row r="4" ht="17" customHeight="1" spans="2:22">
      <c r="B4" s="6"/>
      <c r="C4" s="7" t="s">
        <v>3</v>
      </c>
      <c r="D4" s="8"/>
      <c r="E4" s="9"/>
      <c r="F4" s="7" t="s">
        <v>4</v>
      </c>
      <c r="G4" s="8"/>
      <c r="H4" s="9"/>
      <c r="I4" s="7" t="s">
        <v>5</v>
      </c>
      <c r="J4" s="8"/>
      <c r="K4" s="9"/>
      <c r="L4" s="7" t="s">
        <v>6</v>
      </c>
      <c r="M4" s="8"/>
      <c r="N4" s="9"/>
      <c r="O4" s="7" t="s">
        <v>7</v>
      </c>
      <c r="P4" s="8"/>
      <c r="Q4" s="9"/>
      <c r="R4" s="10" t="s">
        <v>8</v>
      </c>
      <c r="S4" s="11"/>
      <c r="T4" s="12"/>
      <c r="U4" s="10"/>
      <c r="V4" s="10"/>
    </row>
    <row r="5" ht="17" customHeight="1" spans="2:22">
      <c r="B5" s="13"/>
      <c r="C5" s="7" t="s">
        <v>9</v>
      </c>
      <c r="D5" s="7" t="s">
        <v>10</v>
      </c>
      <c r="E5" s="7" t="s">
        <v>11</v>
      </c>
      <c r="F5" s="7" t="s">
        <v>9</v>
      </c>
      <c r="G5" s="7" t="s">
        <v>10</v>
      </c>
      <c r="H5" s="7" t="s">
        <v>11</v>
      </c>
      <c r="I5" s="7" t="s">
        <v>9</v>
      </c>
      <c r="J5" s="7" t="s">
        <v>10</v>
      </c>
      <c r="K5" s="7" t="s">
        <v>11</v>
      </c>
      <c r="L5" s="7" t="s">
        <v>9</v>
      </c>
      <c r="M5" s="7" t="s">
        <v>10</v>
      </c>
      <c r="N5" s="7" t="s">
        <v>11</v>
      </c>
      <c r="O5" s="7" t="s">
        <v>9</v>
      </c>
      <c r="P5" s="7" t="s">
        <v>10</v>
      </c>
      <c r="Q5" s="14" t="s">
        <v>11</v>
      </c>
      <c r="R5" s="10" t="s">
        <v>9</v>
      </c>
      <c r="S5" s="10" t="s">
        <v>10</v>
      </c>
      <c r="T5" s="10" t="s">
        <v>11</v>
      </c>
      <c r="U5" s="10" t="s">
        <v>12</v>
      </c>
      <c r="V5" s="10" t="s">
        <v>13</v>
      </c>
    </row>
    <row r="6" ht="17" customHeight="1" spans="2:22">
      <c r="B6" s="15" t="s">
        <v>14</v>
      </c>
      <c r="C6" s="16" t="e">
        <f>_xlfn.XLOOKUP($B6,'[1]#REF'!$A$6:$A$21,'[1]#REF'!B$6:B$21)</f>
        <v>#N/A</v>
      </c>
      <c r="D6" s="16" t="e">
        <f>_xlfn.XLOOKUP($B6,'[1]#REF'!$A$6:$A$21,'[1]#REF'!C$6:C$21)</f>
        <v>#N/A</v>
      </c>
      <c r="E6" s="17" t="str">
        <f t="shared" ref="E6:E21" si="0">IFERROR(D6/C6,"-")</f>
        <v>-</v>
      </c>
      <c r="F6" s="16" t="e">
        <f>_xlfn.XLOOKUP($B6,'[1]#REF'!$A$6:$A$21,'[1]#REF'!D$6:D$21)</f>
        <v>#N/A</v>
      </c>
      <c r="G6" s="16" t="e">
        <f>_xlfn.XLOOKUP($B6,'[1]#REF'!$A$6:$A$21,'[1]#REF'!E$6:E$21)</f>
        <v>#N/A</v>
      </c>
      <c r="H6" s="17" t="str">
        <f t="shared" ref="H6:H21" si="1">IFERROR(G6/F6,"-")</f>
        <v>-</v>
      </c>
      <c r="I6" s="16" t="e">
        <f>_xlfn.XLOOKUP($B6,'[1]#REF'!$A$6:$A$21,'[1]#REF'!F$6:F$21)</f>
        <v>#N/A</v>
      </c>
      <c r="J6" s="16" t="e">
        <f>_xlfn.XLOOKUP($B6,'[1]#REF'!$A$6:$A$21,'[1]#REF'!G$6:G$21)</f>
        <v>#N/A</v>
      </c>
      <c r="K6" s="17" t="str">
        <f t="shared" ref="K6:K21" si="2">IFERROR(J6/I6,"-")</f>
        <v>-</v>
      </c>
      <c r="L6" s="16" t="e">
        <f>_xlfn.XLOOKUP($B6,'[1]#REF'!$A$6:$A$21,'[1]#REF'!H$6:H$21)</f>
        <v>#N/A</v>
      </c>
      <c r="M6" s="16" t="e">
        <f>_xlfn.XLOOKUP($B6,'[1]#REF'!$A$6:$A$21,'[1]#REF'!I$6:I$21)</f>
        <v>#N/A</v>
      </c>
      <c r="N6" s="17">
        <f t="shared" ref="N6:N21" si="3">IFERROR(M6/L6,0)</f>
        <v>0</v>
      </c>
      <c r="O6" s="16" t="e">
        <f>_xlfn.XLOOKUP($B6,'[1]#REF'!$A$6:$A$21,'[1]#REF'!J$6:J$21)</f>
        <v>#N/A</v>
      </c>
      <c r="P6" s="16" t="e">
        <f>_xlfn.XLOOKUP($B6,'[1]#REF'!$A$6:$A$21,'[1]#REF'!K$6:K$21)</f>
        <v>#N/A</v>
      </c>
      <c r="Q6" s="18">
        <f t="shared" ref="Q6:Q21" si="4">IFERROR(P6/O6,0)</f>
        <v>0</v>
      </c>
      <c r="R6" s="19" t="e">
        <f t="shared" ref="R6:R21" si="5">SUM(C6,F6,I6,L6,O6)</f>
        <v>#N/A</v>
      </c>
      <c r="S6" s="19" t="e">
        <f t="shared" ref="S6:S21" si="6">SUM(D6,G6,J6,M6,P6)</f>
        <v>#N/A</v>
      </c>
      <c r="T6" s="20" t="e">
        <f t="shared" ref="T6:T21" si="7">S6/R6</f>
        <v>#N/A</v>
      </c>
      <c r="U6" s="20">
        <v>0.144166666666667</v>
      </c>
      <c r="V6" s="21" t="e">
        <f t="shared" ref="V6:V21" si="8">T6-U6</f>
        <v>#N/A</v>
      </c>
    </row>
    <row r="7" ht="17" customHeight="1" spans="2:22">
      <c r="B7" s="22" t="s">
        <v>15</v>
      </c>
      <c r="C7" s="23" t="e">
        <f>_xlfn.XLOOKUP($B7,'[1]#REF'!$A$6:$A$21,'[1]#REF'!B$6:B$21)</f>
        <v>#N/A</v>
      </c>
      <c r="D7" s="23" t="e">
        <f>_xlfn.XLOOKUP($B7,'[1]#REF'!$A$6:$A$21,'[1]#REF'!C$6:C$21)</f>
        <v>#N/A</v>
      </c>
      <c r="E7" s="17" t="str">
        <f t="shared" si="0"/>
        <v>-</v>
      </c>
      <c r="F7" s="23" t="e">
        <f>_xlfn.XLOOKUP($B7,'[1]#REF'!$A$6:$A$21,'[1]#REF'!D$6:D$21)</f>
        <v>#N/A</v>
      </c>
      <c r="G7" s="23" t="e">
        <f>_xlfn.XLOOKUP($B7,'[1]#REF'!$A$6:$A$21,'[1]#REF'!E$6:E$21)</f>
        <v>#N/A</v>
      </c>
      <c r="H7" s="17" t="str">
        <f t="shared" si="1"/>
        <v>-</v>
      </c>
      <c r="I7" s="23" t="e">
        <f>_xlfn.XLOOKUP($B7,'[1]#REF'!$A$6:$A$21,'[1]#REF'!F$6:F$21)</f>
        <v>#N/A</v>
      </c>
      <c r="J7" s="23" t="e">
        <f>_xlfn.XLOOKUP($B7,'[1]#REF'!$A$6:$A$21,'[1]#REF'!G$6:G$21)</f>
        <v>#N/A</v>
      </c>
      <c r="K7" s="17" t="str">
        <f t="shared" si="2"/>
        <v>-</v>
      </c>
      <c r="L7" s="23" t="e">
        <f>_xlfn.XLOOKUP($B7,'[1]#REF'!$A$6:$A$21,'[1]#REF'!H$6:H$21)</f>
        <v>#N/A</v>
      </c>
      <c r="M7" s="23" t="e">
        <f>_xlfn.XLOOKUP($B7,'[1]#REF'!$A$6:$A$21,'[1]#REF'!I$6:I$21)</f>
        <v>#N/A</v>
      </c>
      <c r="N7" s="17">
        <f t="shared" si="3"/>
        <v>0</v>
      </c>
      <c r="O7" s="23" t="e">
        <f>_xlfn.XLOOKUP($B7,'[1]#REF'!$A$6:$A$21,'[1]#REF'!J$6:J$21)</f>
        <v>#N/A</v>
      </c>
      <c r="P7" s="23" t="e">
        <f>_xlfn.XLOOKUP($B7,'[1]#REF'!$A$6:$A$21,'[1]#REF'!K$6:K$21)</f>
        <v>#N/A</v>
      </c>
      <c r="Q7" s="18">
        <f t="shared" si="4"/>
        <v>0</v>
      </c>
      <c r="R7" s="24" t="e">
        <f t="shared" si="5"/>
        <v>#N/A</v>
      </c>
      <c r="S7" s="24" t="e">
        <f t="shared" si="6"/>
        <v>#N/A</v>
      </c>
      <c r="T7" s="25" t="e">
        <f t="shared" si="7"/>
        <v>#N/A</v>
      </c>
      <c r="U7" s="25">
        <v>0.171052631578947</v>
      </c>
      <c r="V7" s="26" t="e">
        <f t="shared" si="8"/>
        <v>#N/A</v>
      </c>
    </row>
    <row r="8" ht="17" customHeight="1" spans="2:22">
      <c r="B8" s="15" t="s">
        <v>16</v>
      </c>
      <c r="C8" s="16" t="e">
        <f>_xlfn.XLOOKUP($B8,'[1]#REF'!$A$6:$A$21,'[1]#REF'!B$6:B$21)</f>
        <v>#N/A</v>
      </c>
      <c r="D8" s="16" t="e">
        <f>_xlfn.XLOOKUP($B8,'[1]#REF'!$A$6:$A$21,'[1]#REF'!C$6:C$21)</f>
        <v>#N/A</v>
      </c>
      <c r="E8" s="17" t="str">
        <f t="shared" si="0"/>
        <v>-</v>
      </c>
      <c r="F8" s="16" t="e">
        <f>_xlfn.XLOOKUP($B8,'[1]#REF'!$A$6:$A$21,'[1]#REF'!D$6:D$21)</f>
        <v>#N/A</v>
      </c>
      <c r="G8" s="16" t="e">
        <f>_xlfn.XLOOKUP($B8,'[1]#REF'!$A$6:$A$21,'[1]#REF'!E$6:E$21)</f>
        <v>#N/A</v>
      </c>
      <c r="H8" s="17" t="str">
        <f t="shared" si="1"/>
        <v>-</v>
      </c>
      <c r="I8" s="16" t="e">
        <f>_xlfn.XLOOKUP($B8,'[1]#REF'!$A$6:$A$21,'[1]#REF'!F$6:F$21)</f>
        <v>#N/A</v>
      </c>
      <c r="J8" s="16" t="e">
        <f>_xlfn.XLOOKUP($B8,'[1]#REF'!$A$6:$A$21,'[1]#REF'!G$6:G$21)</f>
        <v>#N/A</v>
      </c>
      <c r="K8" s="17" t="str">
        <f t="shared" si="2"/>
        <v>-</v>
      </c>
      <c r="L8" s="16" t="e">
        <f>_xlfn.XLOOKUP($B8,'[1]#REF'!$A$6:$A$21,'[1]#REF'!H$6:H$21)</f>
        <v>#N/A</v>
      </c>
      <c r="M8" s="16" t="e">
        <f>_xlfn.XLOOKUP($B8,'[1]#REF'!$A$6:$A$21,'[1]#REF'!I$6:I$21)</f>
        <v>#N/A</v>
      </c>
      <c r="N8" s="17">
        <f t="shared" si="3"/>
        <v>0</v>
      </c>
      <c r="O8" s="16" t="e">
        <f>_xlfn.XLOOKUP($B8,'[1]#REF'!$A$6:$A$21,'[1]#REF'!J$6:J$21)</f>
        <v>#N/A</v>
      </c>
      <c r="P8" s="16" t="e">
        <f>_xlfn.XLOOKUP($B8,'[1]#REF'!$A$6:$A$21,'[1]#REF'!K$6:K$21)</f>
        <v>#N/A</v>
      </c>
      <c r="Q8" s="18">
        <f t="shared" si="4"/>
        <v>0</v>
      </c>
      <c r="R8" s="19" t="e">
        <f t="shared" si="5"/>
        <v>#N/A</v>
      </c>
      <c r="S8" s="19" t="e">
        <f t="shared" si="6"/>
        <v>#N/A</v>
      </c>
      <c r="T8" s="20" t="e">
        <f t="shared" si="7"/>
        <v>#N/A</v>
      </c>
      <c r="U8" s="20">
        <v>0.121995192307692</v>
      </c>
      <c r="V8" s="21" t="e">
        <f t="shared" si="8"/>
        <v>#N/A</v>
      </c>
    </row>
    <row r="9" ht="17" customHeight="1" spans="2:22">
      <c r="B9" s="22" t="s">
        <v>17</v>
      </c>
      <c r="C9" s="23" t="e">
        <f>_xlfn.XLOOKUP($B9,'[1]#REF'!$A$6:$A$21,'[1]#REF'!B$6:B$21)</f>
        <v>#N/A</v>
      </c>
      <c r="D9" s="23" t="e">
        <f>_xlfn.XLOOKUP($B9,'[1]#REF'!$A$6:$A$21,'[1]#REF'!C$6:C$21)</f>
        <v>#N/A</v>
      </c>
      <c r="E9" s="17" t="str">
        <f t="shared" si="0"/>
        <v>-</v>
      </c>
      <c r="F9" s="23" t="e">
        <f>_xlfn.XLOOKUP($B9,'[1]#REF'!$A$6:$A$21,'[1]#REF'!D$6:D$21)</f>
        <v>#N/A</v>
      </c>
      <c r="G9" s="23" t="e">
        <f>_xlfn.XLOOKUP($B9,'[1]#REF'!$A$6:$A$21,'[1]#REF'!E$6:E$21)</f>
        <v>#N/A</v>
      </c>
      <c r="H9" s="17" t="str">
        <f t="shared" si="1"/>
        <v>-</v>
      </c>
      <c r="I9" s="23" t="e">
        <f>_xlfn.XLOOKUP($B9,'[1]#REF'!$A$6:$A$21,'[1]#REF'!F$6:F$21)</f>
        <v>#N/A</v>
      </c>
      <c r="J9" s="23" t="e">
        <f>_xlfn.XLOOKUP($B9,'[1]#REF'!$A$6:$A$21,'[1]#REF'!G$6:G$21)</f>
        <v>#N/A</v>
      </c>
      <c r="K9" s="17" t="str">
        <f t="shared" si="2"/>
        <v>-</v>
      </c>
      <c r="L9" s="23" t="e">
        <f>_xlfn.XLOOKUP($B9,'[1]#REF'!$A$6:$A$21,'[1]#REF'!H$6:H$21)</f>
        <v>#N/A</v>
      </c>
      <c r="M9" s="23" t="e">
        <f>_xlfn.XLOOKUP($B9,'[1]#REF'!$A$6:$A$21,'[1]#REF'!I$6:I$21)</f>
        <v>#N/A</v>
      </c>
      <c r="N9" s="17">
        <f t="shared" si="3"/>
        <v>0</v>
      </c>
      <c r="O9" s="23" t="e">
        <f>_xlfn.XLOOKUP($B9,'[1]#REF'!$A$6:$A$21,'[1]#REF'!J$6:J$21)</f>
        <v>#N/A</v>
      </c>
      <c r="P9" s="23" t="e">
        <f>_xlfn.XLOOKUP($B9,'[1]#REF'!$A$6:$A$21,'[1]#REF'!K$6:K$21)</f>
        <v>#N/A</v>
      </c>
      <c r="Q9" s="18">
        <f t="shared" si="4"/>
        <v>0</v>
      </c>
      <c r="R9" s="24" t="e">
        <f t="shared" si="5"/>
        <v>#N/A</v>
      </c>
      <c r="S9" s="24" t="e">
        <f t="shared" si="6"/>
        <v>#N/A</v>
      </c>
      <c r="T9" s="25" t="e">
        <f t="shared" si="7"/>
        <v>#N/A</v>
      </c>
      <c r="U9" s="25">
        <v>0.118827160493827</v>
      </c>
      <c r="V9" s="26" t="e">
        <f t="shared" si="8"/>
        <v>#N/A</v>
      </c>
    </row>
    <row r="10" ht="17" customHeight="1" spans="2:22">
      <c r="B10" s="15" t="s">
        <v>18</v>
      </c>
      <c r="C10" s="16" t="e">
        <f>_xlfn.XLOOKUP($B10,'[1]#REF'!$A$6:$A$21,'[1]#REF'!B$6:B$21)</f>
        <v>#N/A</v>
      </c>
      <c r="D10" s="16" t="e">
        <f>_xlfn.XLOOKUP($B10,'[1]#REF'!$A$6:$A$21,'[1]#REF'!C$6:C$21)</f>
        <v>#N/A</v>
      </c>
      <c r="E10" s="17" t="str">
        <f t="shared" si="0"/>
        <v>-</v>
      </c>
      <c r="F10" s="16" t="e">
        <f>_xlfn.XLOOKUP($B10,'[1]#REF'!$A$6:$A$21,'[1]#REF'!D$6:D$21)</f>
        <v>#N/A</v>
      </c>
      <c r="G10" s="16" t="e">
        <f>_xlfn.XLOOKUP($B10,'[1]#REF'!$A$6:$A$21,'[1]#REF'!E$6:E$21)</f>
        <v>#N/A</v>
      </c>
      <c r="H10" s="17" t="str">
        <f t="shared" si="1"/>
        <v>-</v>
      </c>
      <c r="I10" s="16" t="e">
        <f>_xlfn.XLOOKUP($B10,'[1]#REF'!$A$6:$A$21,'[1]#REF'!F$6:F$21)</f>
        <v>#N/A</v>
      </c>
      <c r="J10" s="16" t="e">
        <f>_xlfn.XLOOKUP($B10,'[1]#REF'!$A$6:$A$21,'[1]#REF'!G$6:G$21)</f>
        <v>#N/A</v>
      </c>
      <c r="K10" s="17" t="str">
        <f t="shared" si="2"/>
        <v>-</v>
      </c>
      <c r="L10" s="16" t="e">
        <f>_xlfn.XLOOKUP($B10,'[1]#REF'!$A$6:$A$21,'[1]#REF'!H$6:H$21)</f>
        <v>#N/A</v>
      </c>
      <c r="M10" s="16" t="e">
        <f>_xlfn.XLOOKUP($B10,'[1]#REF'!$A$6:$A$21,'[1]#REF'!I$6:I$21)</f>
        <v>#N/A</v>
      </c>
      <c r="N10" s="17">
        <f t="shared" si="3"/>
        <v>0</v>
      </c>
      <c r="O10" s="16" t="e">
        <f>_xlfn.XLOOKUP($B10,'[1]#REF'!$A$6:$A$21,'[1]#REF'!J$6:J$21)</f>
        <v>#N/A</v>
      </c>
      <c r="P10" s="16" t="e">
        <f>_xlfn.XLOOKUP($B10,'[1]#REF'!$A$6:$A$21,'[1]#REF'!K$6:K$21)</f>
        <v>#N/A</v>
      </c>
      <c r="Q10" s="18">
        <f t="shared" si="4"/>
        <v>0</v>
      </c>
      <c r="R10" s="19" t="e">
        <f t="shared" si="5"/>
        <v>#N/A</v>
      </c>
      <c r="S10" s="19" t="e">
        <f t="shared" si="6"/>
        <v>#N/A</v>
      </c>
      <c r="T10" s="25" t="e">
        <f t="shared" si="7"/>
        <v>#N/A</v>
      </c>
      <c r="U10" s="25">
        <v>0.0911330049261084</v>
      </c>
      <c r="V10" s="26" t="e">
        <f t="shared" si="8"/>
        <v>#N/A</v>
      </c>
    </row>
    <row r="11" ht="17" customHeight="1" spans="2:22">
      <c r="B11" s="22" t="s">
        <v>19</v>
      </c>
      <c r="C11" s="23" t="e">
        <f>_xlfn.XLOOKUP($B11,'[1]#REF'!$A$6:$A$21,'[1]#REF'!B$6:B$21)</f>
        <v>#N/A</v>
      </c>
      <c r="D11" s="23" t="e">
        <f>_xlfn.XLOOKUP($B11,'[1]#REF'!$A$6:$A$21,'[1]#REF'!C$6:C$21)</f>
        <v>#N/A</v>
      </c>
      <c r="E11" s="17" t="str">
        <f t="shared" si="0"/>
        <v>-</v>
      </c>
      <c r="F11" s="23" t="e">
        <f>_xlfn.XLOOKUP($B11,'[1]#REF'!$A$6:$A$21,'[1]#REF'!D$6:D$21)</f>
        <v>#N/A</v>
      </c>
      <c r="G11" s="23" t="e">
        <f>_xlfn.XLOOKUP($B11,'[1]#REF'!$A$6:$A$21,'[1]#REF'!E$6:E$21)</f>
        <v>#N/A</v>
      </c>
      <c r="H11" s="17" t="str">
        <f t="shared" si="1"/>
        <v>-</v>
      </c>
      <c r="I11" s="23" t="e">
        <f>_xlfn.XLOOKUP($B11,'[1]#REF'!$A$6:$A$21,'[1]#REF'!F$6:F$21)</f>
        <v>#N/A</v>
      </c>
      <c r="J11" s="23" t="e">
        <f>_xlfn.XLOOKUP($B11,'[1]#REF'!$A$6:$A$21,'[1]#REF'!G$6:G$21)</f>
        <v>#N/A</v>
      </c>
      <c r="K11" s="17" t="str">
        <f t="shared" si="2"/>
        <v>-</v>
      </c>
      <c r="L11" s="23" t="e">
        <f>_xlfn.XLOOKUP($B11,'[1]#REF'!$A$6:$A$21,'[1]#REF'!H$6:H$21)</f>
        <v>#N/A</v>
      </c>
      <c r="M11" s="23" t="e">
        <f>_xlfn.XLOOKUP($B11,'[1]#REF'!$A$6:$A$21,'[1]#REF'!I$6:I$21)</f>
        <v>#N/A</v>
      </c>
      <c r="N11" s="17">
        <f t="shared" si="3"/>
        <v>0</v>
      </c>
      <c r="O11" s="23" t="e">
        <f>_xlfn.XLOOKUP($B11,'[1]#REF'!$A$6:$A$21,'[1]#REF'!J$6:J$21)</f>
        <v>#N/A</v>
      </c>
      <c r="P11" s="23" t="e">
        <f>_xlfn.XLOOKUP($B11,'[1]#REF'!$A$6:$A$21,'[1]#REF'!K$6:K$21)</f>
        <v>#N/A</v>
      </c>
      <c r="Q11" s="18">
        <f t="shared" si="4"/>
        <v>0</v>
      </c>
      <c r="R11" s="24" t="e">
        <f t="shared" si="5"/>
        <v>#N/A</v>
      </c>
      <c r="S11" s="24" t="e">
        <f t="shared" si="6"/>
        <v>#N/A</v>
      </c>
      <c r="T11" s="25" t="e">
        <f t="shared" si="7"/>
        <v>#N/A</v>
      </c>
      <c r="U11" s="25">
        <v>0.149621212121212</v>
      </c>
      <c r="V11" s="26" t="e">
        <f t="shared" si="8"/>
        <v>#N/A</v>
      </c>
    </row>
    <row r="12" ht="17" customHeight="1" spans="2:22">
      <c r="B12" s="15" t="s">
        <v>20</v>
      </c>
      <c r="C12" s="16" t="e">
        <f>_xlfn.XLOOKUP($B12,'[1]#REF'!$A$6:$A$21,'[1]#REF'!B$6:B$21)</f>
        <v>#N/A</v>
      </c>
      <c r="D12" s="16" t="e">
        <f>_xlfn.XLOOKUP($B12,'[1]#REF'!$A$6:$A$21,'[1]#REF'!C$6:C$21)</f>
        <v>#N/A</v>
      </c>
      <c r="E12" s="17" t="str">
        <f t="shared" si="0"/>
        <v>-</v>
      </c>
      <c r="F12" s="16" t="e">
        <f>_xlfn.XLOOKUP($B12,'[1]#REF'!$A$6:$A$21,'[1]#REF'!D$6:D$21)</f>
        <v>#N/A</v>
      </c>
      <c r="G12" s="16" t="e">
        <f>_xlfn.XLOOKUP($B12,'[1]#REF'!$A$6:$A$21,'[1]#REF'!E$6:E$21)</f>
        <v>#N/A</v>
      </c>
      <c r="H12" s="17" t="str">
        <f t="shared" si="1"/>
        <v>-</v>
      </c>
      <c r="I12" s="16" t="e">
        <f>_xlfn.XLOOKUP($B12,'[1]#REF'!$A$6:$A$21,'[1]#REF'!F$6:F$21)</f>
        <v>#N/A</v>
      </c>
      <c r="J12" s="16" t="e">
        <f>_xlfn.XLOOKUP($B12,'[1]#REF'!$A$6:$A$21,'[1]#REF'!G$6:G$21)</f>
        <v>#N/A</v>
      </c>
      <c r="K12" s="17" t="str">
        <f t="shared" si="2"/>
        <v>-</v>
      </c>
      <c r="L12" s="16" t="e">
        <f>_xlfn.XLOOKUP($B12,'[1]#REF'!$A$6:$A$21,'[1]#REF'!H$6:H$21)</f>
        <v>#N/A</v>
      </c>
      <c r="M12" s="16" t="e">
        <f>_xlfn.XLOOKUP($B12,'[1]#REF'!$A$6:$A$21,'[1]#REF'!I$6:I$21)</f>
        <v>#N/A</v>
      </c>
      <c r="N12" s="17">
        <f t="shared" si="3"/>
        <v>0</v>
      </c>
      <c r="O12" s="16" t="e">
        <f>_xlfn.XLOOKUP($B12,'[1]#REF'!$A$6:$A$21,'[1]#REF'!J$6:J$21)</f>
        <v>#N/A</v>
      </c>
      <c r="P12" s="16" t="e">
        <f>_xlfn.XLOOKUP($B12,'[1]#REF'!$A$6:$A$21,'[1]#REF'!K$6:K$21)</f>
        <v>#N/A</v>
      </c>
      <c r="Q12" s="18">
        <f t="shared" si="4"/>
        <v>0</v>
      </c>
      <c r="R12" s="19" t="e">
        <f t="shared" si="5"/>
        <v>#N/A</v>
      </c>
      <c r="S12" s="19" t="e">
        <f t="shared" si="6"/>
        <v>#N/A</v>
      </c>
      <c r="T12" s="20" t="e">
        <f t="shared" si="7"/>
        <v>#N/A</v>
      </c>
      <c r="U12" s="20">
        <v>0.0688502673796791</v>
      </c>
      <c r="V12" s="21" t="e">
        <f t="shared" si="8"/>
        <v>#N/A</v>
      </c>
    </row>
    <row r="13" ht="17" customHeight="1" spans="2:22">
      <c r="B13" s="22" t="s">
        <v>21</v>
      </c>
      <c r="C13" s="23" t="e">
        <f>_xlfn.XLOOKUP($B13,'[1]#REF'!$A$6:$A$21,'[1]#REF'!B$6:B$21)</f>
        <v>#N/A</v>
      </c>
      <c r="D13" s="23" t="e">
        <f>_xlfn.XLOOKUP($B13,'[1]#REF'!$A$6:$A$21,'[1]#REF'!C$6:C$21)</f>
        <v>#N/A</v>
      </c>
      <c r="E13" s="17" t="str">
        <f t="shared" si="0"/>
        <v>-</v>
      </c>
      <c r="F13" s="23" t="e">
        <f>_xlfn.XLOOKUP($B13,'[1]#REF'!$A$6:$A$21,'[1]#REF'!D$6:D$21)</f>
        <v>#N/A</v>
      </c>
      <c r="G13" s="23" t="e">
        <f>_xlfn.XLOOKUP($B13,'[1]#REF'!$A$6:$A$21,'[1]#REF'!E$6:E$21)</f>
        <v>#N/A</v>
      </c>
      <c r="H13" s="17" t="str">
        <f t="shared" si="1"/>
        <v>-</v>
      </c>
      <c r="I13" s="23" t="e">
        <f>_xlfn.XLOOKUP($B13,'[1]#REF'!$A$6:$A$21,'[1]#REF'!F$6:F$21)</f>
        <v>#N/A</v>
      </c>
      <c r="J13" s="23" t="e">
        <f>_xlfn.XLOOKUP($B13,'[1]#REF'!$A$6:$A$21,'[1]#REF'!G$6:G$21)</f>
        <v>#N/A</v>
      </c>
      <c r="K13" s="17" t="str">
        <f t="shared" si="2"/>
        <v>-</v>
      </c>
      <c r="L13" s="23" t="e">
        <f>_xlfn.XLOOKUP($B13,'[1]#REF'!$A$6:$A$21,'[1]#REF'!H$6:H$21)</f>
        <v>#N/A</v>
      </c>
      <c r="M13" s="23" t="e">
        <f>_xlfn.XLOOKUP($B13,'[1]#REF'!$A$6:$A$21,'[1]#REF'!I$6:I$21)</f>
        <v>#N/A</v>
      </c>
      <c r="N13" s="17">
        <f t="shared" si="3"/>
        <v>0</v>
      </c>
      <c r="O13" s="23" t="e">
        <f>_xlfn.XLOOKUP($B13,'[1]#REF'!$A$6:$A$21,'[1]#REF'!J$6:J$21)</f>
        <v>#N/A</v>
      </c>
      <c r="P13" s="23" t="e">
        <f>_xlfn.XLOOKUP($B13,'[1]#REF'!$A$6:$A$21,'[1]#REF'!K$6:K$21)</f>
        <v>#N/A</v>
      </c>
      <c r="Q13" s="18">
        <f t="shared" si="4"/>
        <v>0</v>
      </c>
      <c r="R13" s="24" t="e">
        <f t="shared" si="5"/>
        <v>#N/A</v>
      </c>
      <c r="S13" s="24" t="e">
        <f t="shared" si="6"/>
        <v>#N/A</v>
      </c>
      <c r="T13" s="25" t="e">
        <f t="shared" si="7"/>
        <v>#N/A</v>
      </c>
      <c r="U13" s="25">
        <v>0.109677419354839</v>
      </c>
      <c r="V13" s="26" t="e">
        <f t="shared" si="8"/>
        <v>#N/A</v>
      </c>
    </row>
    <row r="14" ht="17" customHeight="1" spans="2:22">
      <c r="B14" s="15" t="s">
        <v>22</v>
      </c>
      <c r="C14" s="16" t="e">
        <f>_xlfn.XLOOKUP($B14,'[1]#REF'!$A$6:$A$21,'[1]#REF'!B$6:B$21)</f>
        <v>#N/A</v>
      </c>
      <c r="D14" s="16" t="e">
        <f>_xlfn.XLOOKUP($B14,'[1]#REF'!$A$6:$A$21,'[1]#REF'!C$6:C$21)</f>
        <v>#N/A</v>
      </c>
      <c r="E14" s="17" t="str">
        <f t="shared" si="0"/>
        <v>-</v>
      </c>
      <c r="F14" s="16" t="e">
        <f>_xlfn.XLOOKUP($B14,'[1]#REF'!$A$6:$A$21,'[1]#REF'!D$6:D$21)</f>
        <v>#N/A</v>
      </c>
      <c r="G14" s="16" t="e">
        <f>_xlfn.XLOOKUP($B14,'[1]#REF'!$A$6:$A$21,'[1]#REF'!E$6:E$21)</f>
        <v>#N/A</v>
      </c>
      <c r="H14" s="17" t="str">
        <f t="shared" si="1"/>
        <v>-</v>
      </c>
      <c r="I14" s="16" t="e">
        <f>_xlfn.XLOOKUP($B14,'[1]#REF'!$A$6:$A$21,'[1]#REF'!F$6:F$21)</f>
        <v>#N/A</v>
      </c>
      <c r="J14" s="16" t="e">
        <f>_xlfn.XLOOKUP($B14,'[1]#REF'!$A$6:$A$21,'[1]#REF'!G$6:G$21)</f>
        <v>#N/A</v>
      </c>
      <c r="K14" s="17" t="str">
        <f t="shared" si="2"/>
        <v>-</v>
      </c>
      <c r="L14" s="16" t="e">
        <f>_xlfn.XLOOKUP($B14,'[1]#REF'!$A$6:$A$21,'[1]#REF'!H$6:H$21)</f>
        <v>#N/A</v>
      </c>
      <c r="M14" s="16" t="e">
        <f>_xlfn.XLOOKUP($B14,'[1]#REF'!$A$6:$A$21,'[1]#REF'!I$6:I$21)</f>
        <v>#N/A</v>
      </c>
      <c r="N14" s="17">
        <f t="shared" si="3"/>
        <v>0</v>
      </c>
      <c r="O14" s="16" t="e">
        <f>_xlfn.XLOOKUP($B14,'[1]#REF'!$A$6:$A$21,'[1]#REF'!J$6:J$21)</f>
        <v>#N/A</v>
      </c>
      <c r="P14" s="16" t="e">
        <f>_xlfn.XLOOKUP($B14,'[1]#REF'!$A$6:$A$21,'[1]#REF'!K$6:K$21)</f>
        <v>#N/A</v>
      </c>
      <c r="Q14" s="18">
        <f t="shared" si="4"/>
        <v>0</v>
      </c>
      <c r="R14" s="19" t="e">
        <f t="shared" si="5"/>
        <v>#N/A</v>
      </c>
      <c r="S14" s="19" t="e">
        <f t="shared" si="6"/>
        <v>#N/A</v>
      </c>
      <c r="T14" s="20" t="e">
        <f t="shared" si="7"/>
        <v>#N/A</v>
      </c>
      <c r="U14" s="20">
        <v>0.0726102941176471</v>
      </c>
      <c r="V14" s="21" t="e">
        <f t="shared" si="8"/>
        <v>#N/A</v>
      </c>
    </row>
    <row r="15" ht="17" customHeight="1" spans="2:22">
      <c r="B15" s="22" t="s">
        <v>23</v>
      </c>
      <c r="C15" s="23" t="e">
        <f>_xlfn.XLOOKUP($B15,'[1]#REF'!$A$6:$A$21,'[1]#REF'!B$6:B$21)</f>
        <v>#N/A</v>
      </c>
      <c r="D15" s="23" t="e">
        <f>_xlfn.XLOOKUP($B15,'[1]#REF'!$A$6:$A$21,'[1]#REF'!C$6:C$21)</f>
        <v>#N/A</v>
      </c>
      <c r="E15" s="17" t="str">
        <f t="shared" si="0"/>
        <v>-</v>
      </c>
      <c r="F15" s="23" t="e">
        <f>_xlfn.XLOOKUP($B15,'[1]#REF'!$A$6:$A$21,'[1]#REF'!D$6:D$21)</f>
        <v>#N/A</v>
      </c>
      <c r="G15" s="23" t="e">
        <f>_xlfn.XLOOKUP($B15,'[1]#REF'!$A$6:$A$21,'[1]#REF'!E$6:E$21)</f>
        <v>#N/A</v>
      </c>
      <c r="H15" s="17" t="str">
        <f t="shared" si="1"/>
        <v>-</v>
      </c>
      <c r="I15" s="23" t="e">
        <f>_xlfn.XLOOKUP($B15,'[1]#REF'!$A$6:$A$21,'[1]#REF'!F$6:F$21)</f>
        <v>#N/A</v>
      </c>
      <c r="J15" s="23" t="e">
        <f>_xlfn.XLOOKUP($B15,'[1]#REF'!$A$6:$A$21,'[1]#REF'!G$6:G$21)</f>
        <v>#N/A</v>
      </c>
      <c r="K15" s="17" t="str">
        <f t="shared" si="2"/>
        <v>-</v>
      </c>
      <c r="L15" s="23" t="e">
        <f>_xlfn.XLOOKUP($B15,'[1]#REF'!$A$6:$A$21,'[1]#REF'!H$6:H$21)</f>
        <v>#N/A</v>
      </c>
      <c r="M15" s="23" t="e">
        <f>_xlfn.XLOOKUP($B15,'[1]#REF'!$A$6:$A$21,'[1]#REF'!I$6:I$21)</f>
        <v>#N/A</v>
      </c>
      <c r="N15" s="17">
        <f t="shared" si="3"/>
        <v>0</v>
      </c>
      <c r="O15" s="23" t="e">
        <f>_xlfn.XLOOKUP($B15,'[1]#REF'!$A$6:$A$21,'[1]#REF'!J$6:J$21)</f>
        <v>#N/A</v>
      </c>
      <c r="P15" s="23" t="e">
        <f>_xlfn.XLOOKUP($B15,'[1]#REF'!$A$6:$A$21,'[1]#REF'!K$6:K$21)</f>
        <v>#N/A</v>
      </c>
      <c r="Q15" s="18">
        <f t="shared" si="4"/>
        <v>0</v>
      </c>
      <c r="R15" s="24" t="e">
        <f t="shared" si="5"/>
        <v>#N/A</v>
      </c>
      <c r="S15" s="24" t="e">
        <f t="shared" si="6"/>
        <v>#N/A</v>
      </c>
      <c r="T15" s="25" t="e">
        <f t="shared" si="7"/>
        <v>#N/A</v>
      </c>
      <c r="U15" s="25">
        <v>0.0456989247311828</v>
      </c>
      <c r="V15" s="26" t="e">
        <f t="shared" si="8"/>
        <v>#N/A</v>
      </c>
    </row>
    <row r="16" ht="17" customHeight="1" spans="2:22">
      <c r="B16" s="15" t="s">
        <v>24</v>
      </c>
      <c r="C16" s="16" t="e">
        <f>_xlfn.XLOOKUP($B16,'[1]#REF'!$A$6:$A$21,'[1]#REF'!B$6:B$21)</f>
        <v>#N/A</v>
      </c>
      <c r="D16" s="16" t="e">
        <f>_xlfn.XLOOKUP($B16,'[1]#REF'!$A$6:$A$21,'[1]#REF'!C$6:C$21)</f>
        <v>#N/A</v>
      </c>
      <c r="E16" s="17" t="str">
        <f t="shared" si="0"/>
        <v>-</v>
      </c>
      <c r="F16" s="16" t="e">
        <f>_xlfn.XLOOKUP($B16,'[1]#REF'!$A$6:$A$21,'[1]#REF'!D$6:D$21)</f>
        <v>#N/A</v>
      </c>
      <c r="G16" s="16" t="e">
        <f>_xlfn.XLOOKUP($B16,'[1]#REF'!$A$6:$A$21,'[1]#REF'!E$6:E$21)</f>
        <v>#N/A</v>
      </c>
      <c r="H16" s="17" t="str">
        <f t="shared" si="1"/>
        <v>-</v>
      </c>
      <c r="I16" s="16" t="e">
        <f>_xlfn.XLOOKUP($B16,'[1]#REF'!$A$6:$A$21,'[1]#REF'!F$6:F$21)</f>
        <v>#N/A</v>
      </c>
      <c r="J16" s="16" t="e">
        <f>_xlfn.XLOOKUP($B16,'[1]#REF'!$A$6:$A$21,'[1]#REF'!G$6:G$21)</f>
        <v>#N/A</v>
      </c>
      <c r="K16" s="17" t="str">
        <f t="shared" si="2"/>
        <v>-</v>
      </c>
      <c r="L16" s="16" t="e">
        <f>_xlfn.XLOOKUP($B16,'[1]#REF'!$A$6:$A$21,'[1]#REF'!H$6:H$21)</f>
        <v>#N/A</v>
      </c>
      <c r="M16" s="16" t="e">
        <f>_xlfn.XLOOKUP($B16,'[1]#REF'!$A$6:$A$21,'[1]#REF'!I$6:I$21)</f>
        <v>#N/A</v>
      </c>
      <c r="N16" s="17">
        <f t="shared" si="3"/>
        <v>0</v>
      </c>
      <c r="O16" s="16" t="e">
        <f>_xlfn.XLOOKUP($B16,'[1]#REF'!$A$6:$A$21,'[1]#REF'!J$6:J$21)</f>
        <v>#N/A</v>
      </c>
      <c r="P16" s="16" t="e">
        <f>_xlfn.XLOOKUP($B16,'[1]#REF'!$A$6:$A$21,'[1]#REF'!K$6:K$21)</f>
        <v>#N/A</v>
      </c>
      <c r="Q16" s="18">
        <f t="shared" si="4"/>
        <v>0</v>
      </c>
      <c r="R16" s="19" t="e">
        <f t="shared" si="5"/>
        <v>#N/A</v>
      </c>
      <c r="S16" s="19" t="e">
        <f t="shared" si="6"/>
        <v>#N/A</v>
      </c>
      <c r="T16" s="20" t="e">
        <f t="shared" si="7"/>
        <v>#N/A</v>
      </c>
      <c r="U16" s="20">
        <v>0.0625</v>
      </c>
      <c r="V16" s="21" t="e">
        <f t="shared" si="8"/>
        <v>#N/A</v>
      </c>
    </row>
    <row r="17" ht="17" customHeight="1" spans="2:22">
      <c r="B17" s="22" t="s">
        <v>25</v>
      </c>
      <c r="C17" s="23" t="e">
        <f>_xlfn.XLOOKUP($B17,'[1]#REF'!$A$6:$A$21,'[1]#REF'!B$6:B$21)</f>
        <v>#N/A</v>
      </c>
      <c r="D17" s="23" t="e">
        <f>_xlfn.XLOOKUP($B17,'[1]#REF'!$A$6:$A$21,'[1]#REF'!C$6:C$21)</f>
        <v>#N/A</v>
      </c>
      <c r="E17" s="17" t="str">
        <f t="shared" si="0"/>
        <v>-</v>
      </c>
      <c r="F17" s="23" t="e">
        <f>_xlfn.XLOOKUP($B17,'[1]#REF'!$A$6:$A$21,'[1]#REF'!D$6:D$21)</f>
        <v>#N/A</v>
      </c>
      <c r="G17" s="23" t="e">
        <f>_xlfn.XLOOKUP($B17,'[1]#REF'!$A$6:$A$21,'[1]#REF'!E$6:E$21)</f>
        <v>#N/A</v>
      </c>
      <c r="H17" s="17" t="str">
        <f t="shared" si="1"/>
        <v>-</v>
      </c>
      <c r="I17" s="23" t="e">
        <f>_xlfn.XLOOKUP($B17,'[1]#REF'!$A$6:$A$21,'[1]#REF'!F$6:F$21)</f>
        <v>#N/A</v>
      </c>
      <c r="J17" s="23" t="e">
        <f>_xlfn.XLOOKUP($B17,'[1]#REF'!$A$6:$A$21,'[1]#REF'!G$6:G$21)</f>
        <v>#N/A</v>
      </c>
      <c r="K17" s="17" t="str">
        <f t="shared" si="2"/>
        <v>-</v>
      </c>
      <c r="L17" s="23" t="e">
        <f>_xlfn.XLOOKUP($B17,'[1]#REF'!$A$6:$A$21,'[1]#REF'!H$6:H$21)</f>
        <v>#N/A</v>
      </c>
      <c r="M17" s="23" t="e">
        <f>_xlfn.XLOOKUP($B17,'[1]#REF'!$A$6:$A$21,'[1]#REF'!I$6:I$21)</f>
        <v>#N/A</v>
      </c>
      <c r="N17" s="17">
        <f t="shared" si="3"/>
        <v>0</v>
      </c>
      <c r="O17" s="23" t="e">
        <f>_xlfn.XLOOKUP($B17,'[1]#REF'!$A$6:$A$21,'[1]#REF'!J$6:J$21)</f>
        <v>#N/A</v>
      </c>
      <c r="P17" s="23" t="e">
        <f>_xlfn.XLOOKUP($B17,'[1]#REF'!$A$6:$A$21,'[1]#REF'!K$6:K$21)</f>
        <v>#N/A</v>
      </c>
      <c r="Q17" s="18">
        <f t="shared" si="4"/>
        <v>0</v>
      </c>
      <c r="R17" s="24" t="e">
        <f t="shared" si="5"/>
        <v>#N/A</v>
      </c>
      <c r="S17" s="24" t="e">
        <f t="shared" si="6"/>
        <v>#N/A</v>
      </c>
      <c r="T17" s="25" t="e">
        <f t="shared" si="7"/>
        <v>#N/A</v>
      </c>
      <c r="U17" s="25">
        <v>0.315384615384615</v>
      </c>
      <c r="V17" s="26" t="e">
        <f t="shared" si="8"/>
        <v>#N/A</v>
      </c>
    </row>
    <row r="18" ht="17" customHeight="1" spans="2:22">
      <c r="B18" s="15" t="s">
        <v>26</v>
      </c>
      <c r="C18" s="16" t="e">
        <f>_xlfn.XLOOKUP($B18,'[1]#REF'!$A$6:$A$21,'[1]#REF'!B$6:B$21)</f>
        <v>#N/A</v>
      </c>
      <c r="D18" s="16" t="e">
        <f>_xlfn.XLOOKUP($B18,'[1]#REF'!$A$6:$A$21,'[1]#REF'!C$6:C$21)</f>
        <v>#N/A</v>
      </c>
      <c r="E18" s="17" t="str">
        <f t="shared" si="0"/>
        <v>-</v>
      </c>
      <c r="F18" s="16" t="e">
        <f>_xlfn.XLOOKUP($B18,'[1]#REF'!$A$6:$A$21,'[1]#REF'!D$6:D$21)</f>
        <v>#N/A</v>
      </c>
      <c r="G18" s="16" t="e">
        <f>_xlfn.XLOOKUP($B18,'[1]#REF'!$A$6:$A$21,'[1]#REF'!E$6:E$21)</f>
        <v>#N/A</v>
      </c>
      <c r="H18" s="17" t="str">
        <f t="shared" si="1"/>
        <v>-</v>
      </c>
      <c r="I18" s="16" t="e">
        <f>_xlfn.XLOOKUP($B18,'[1]#REF'!$A$6:$A$21,'[1]#REF'!F$6:F$21)</f>
        <v>#N/A</v>
      </c>
      <c r="J18" s="16" t="e">
        <f>_xlfn.XLOOKUP($B18,'[1]#REF'!$A$6:$A$21,'[1]#REF'!G$6:G$21)</f>
        <v>#N/A</v>
      </c>
      <c r="K18" s="17" t="str">
        <f t="shared" si="2"/>
        <v>-</v>
      </c>
      <c r="L18" s="16" t="e">
        <f>_xlfn.XLOOKUP($B18,'[1]#REF'!$A$6:$A$21,'[1]#REF'!H$6:H$21)</f>
        <v>#N/A</v>
      </c>
      <c r="M18" s="16" t="e">
        <f>_xlfn.XLOOKUP($B18,'[1]#REF'!$A$6:$A$21,'[1]#REF'!I$6:I$21)</f>
        <v>#N/A</v>
      </c>
      <c r="N18" s="17">
        <f t="shared" si="3"/>
        <v>0</v>
      </c>
      <c r="O18" s="16" t="e">
        <f>_xlfn.XLOOKUP($B18,'[1]#REF'!$A$6:$A$21,'[1]#REF'!J$6:J$21)</f>
        <v>#N/A</v>
      </c>
      <c r="P18" s="16" t="e">
        <f>_xlfn.XLOOKUP($B18,'[1]#REF'!$A$6:$A$21,'[1]#REF'!K$6:K$21)</f>
        <v>#N/A</v>
      </c>
      <c r="Q18" s="18">
        <f t="shared" si="4"/>
        <v>0</v>
      </c>
      <c r="R18" s="19" t="e">
        <f t="shared" si="5"/>
        <v>#N/A</v>
      </c>
      <c r="S18" s="19" t="e">
        <f t="shared" si="6"/>
        <v>#N/A</v>
      </c>
      <c r="T18" s="20" t="e">
        <f t="shared" si="7"/>
        <v>#N/A</v>
      </c>
      <c r="U18" s="20">
        <v>0.0197368421052632</v>
      </c>
      <c r="V18" s="21" t="e">
        <f t="shared" si="8"/>
        <v>#N/A</v>
      </c>
    </row>
    <row r="19" ht="17" customHeight="1" spans="2:22">
      <c r="B19" s="22" t="s">
        <v>27</v>
      </c>
      <c r="C19" s="23" t="e">
        <f>_xlfn.XLOOKUP($B19,'[1]#REF'!$A$6:$A$21,'[1]#REF'!B$6:B$21)</f>
        <v>#N/A</v>
      </c>
      <c r="D19" s="23" t="e">
        <f>_xlfn.XLOOKUP($B19,'[1]#REF'!$A$6:$A$21,'[1]#REF'!C$6:C$21)</f>
        <v>#N/A</v>
      </c>
      <c r="E19" s="17" t="str">
        <f t="shared" si="0"/>
        <v>-</v>
      </c>
      <c r="F19" s="23" t="e">
        <f>_xlfn.XLOOKUP($B19,'[1]#REF'!$A$6:$A$21,'[1]#REF'!D$6:D$21)</f>
        <v>#N/A</v>
      </c>
      <c r="G19" s="23" t="e">
        <f>_xlfn.XLOOKUP($B19,'[1]#REF'!$A$6:$A$21,'[1]#REF'!E$6:E$21)</f>
        <v>#N/A</v>
      </c>
      <c r="H19" s="17" t="str">
        <f t="shared" si="1"/>
        <v>-</v>
      </c>
      <c r="I19" s="23" t="e">
        <f>_xlfn.XLOOKUP($B19,'[1]#REF'!$A$6:$A$21,'[1]#REF'!F$6:F$21)</f>
        <v>#N/A</v>
      </c>
      <c r="J19" s="23" t="e">
        <f>_xlfn.XLOOKUP($B19,'[1]#REF'!$A$6:$A$21,'[1]#REF'!G$6:G$21)</f>
        <v>#N/A</v>
      </c>
      <c r="K19" s="17" t="str">
        <f t="shared" si="2"/>
        <v>-</v>
      </c>
      <c r="L19" s="23" t="e">
        <f>_xlfn.XLOOKUP($B19,'[1]#REF'!$A$6:$A$21,'[1]#REF'!H$6:H$21)</f>
        <v>#N/A</v>
      </c>
      <c r="M19" s="23" t="e">
        <f>_xlfn.XLOOKUP($B19,'[1]#REF'!$A$6:$A$21,'[1]#REF'!I$6:I$21)</f>
        <v>#N/A</v>
      </c>
      <c r="N19" s="17">
        <f t="shared" si="3"/>
        <v>0</v>
      </c>
      <c r="O19" s="23" t="e">
        <f>_xlfn.XLOOKUP($B19,'[1]#REF'!$A$6:$A$21,'[1]#REF'!J$6:J$21)</f>
        <v>#N/A</v>
      </c>
      <c r="P19" s="23" t="e">
        <f>_xlfn.XLOOKUP($B19,'[1]#REF'!$A$6:$A$21,'[1]#REF'!K$6:K$21)</f>
        <v>#N/A</v>
      </c>
      <c r="Q19" s="18">
        <f t="shared" si="4"/>
        <v>0</v>
      </c>
      <c r="R19" s="24" t="e">
        <f t="shared" si="5"/>
        <v>#N/A</v>
      </c>
      <c r="S19" s="24" t="e">
        <f t="shared" si="6"/>
        <v>#N/A</v>
      </c>
      <c r="T19" s="25" t="e">
        <f t="shared" si="7"/>
        <v>#N/A</v>
      </c>
      <c r="U19" s="25">
        <v>-0.0476190476190476</v>
      </c>
      <c r="V19" s="26" t="e">
        <f t="shared" si="8"/>
        <v>#N/A</v>
      </c>
    </row>
    <row r="20" ht="17" customHeight="1" spans="2:22">
      <c r="B20" s="15" t="s">
        <v>28</v>
      </c>
      <c r="C20" s="16" t="e">
        <f>_xlfn.XLOOKUP($B20,'[1]#REF'!$A$6:$A$21,'[1]#REF'!B$6:B$21)</f>
        <v>#N/A</v>
      </c>
      <c r="D20" s="16" t="e">
        <f>_xlfn.XLOOKUP($B20,'[1]#REF'!$A$6:$A$21,'[1]#REF'!C$6:C$21)</f>
        <v>#N/A</v>
      </c>
      <c r="E20" s="17" t="str">
        <f t="shared" si="0"/>
        <v>-</v>
      </c>
      <c r="F20" s="16" t="e">
        <f>_xlfn.XLOOKUP($B20,'[1]#REF'!$A$6:$A$21,'[1]#REF'!D$6:D$21)</f>
        <v>#N/A</v>
      </c>
      <c r="G20" s="16" t="e">
        <f>_xlfn.XLOOKUP($B20,'[1]#REF'!$A$6:$A$21,'[1]#REF'!E$6:E$21)</f>
        <v>#N/A</v>
      </c>
      <c r="H20" s="17" t="str">
        <f t="shared" si="1"/>
        <v>-</v>
      </c>
      <c r="I20" s="16" t="e">
        <f>_xlfn.XLOOKUP($B20,'[1]#REF'!$A$6:$A$21,'[1]#REF'!F$6:F$21)</f>
        <v>#N/A</v>
      </c>
      <c r="J20" s="16" t="e">
        <f>_xlfn.XLOOKUP($B20,'[1]#REF'!$A$6:$A$21,'[1]#REF'!G$6:G$21)</f>
        <v>#N/A</v>
      </c>
      <c r="K20" s="17" t="str">
        <f t="shared" si="2"/>
        <v>-</v>
      </c>
      <c r="L20" s="16" t="e">
        <f>_xlfn.XLOOKUP($B20,'[1]#REF'!$A$6:$A$21,'[1]#REF'!H$6:H$21)</f>
        <v>#N/A</v>
      </c>
      <c r="M20" s="16" t="e">
        <f>_xlfn.XLOOKUP($B20,'[1]#REF'!$A$6:$A$21,'[1]#REF'!I$6:I$21)</f>
        <v>#N/A</v>
      </c>
      <c r="N20" s="17">
        <f t="shared" si="3"/>
        <v>0</v>
      </c>
      <c r="O20" s="16" t="e">
        <f>_xlfn.XLOOKUP($B20,'[1]#REF'!$A$6:$A$21,'[1]#REF'!J$6:J$21)</f>
        <v>#N/A</v>
      </c>
      <c r="P20" s="16" t="e">
        <f>_xlfn.XLOOKUP($B20,'[1]#REF'!$A$6:$A$21,'[1]#REF'!K$6:K$21)</f>
        <v>#N/A</v>
      </c>
      <c r="Q20" s="18">
        <f t="shared" si="4"/>
        <v>0</v>
      </c>
      <c r="R20" s="19" t="e">
        <f t="shared" si="5"/>
        <v>#N/A</v>
      </c>
      <c r="S20" s="19" t="e">
        <f t="shared" si="6"/>
        <v>#N/A</v>
      </c>
      <c r="T20" s="20" t="e">
        <f t="shared" si="7"/>
        <v>#N/A</v>
      </c>
      <c r="U20" s="20">
        <v>0.114285714285714</v>
      </c>
      <c r="V20" s="21" t="e">
        <f t="shared" si="8"/>
        <v>#N/A</v>
      </c>
    </row>
    <row r="21" ht="17" customHeight="1" spans="2:22">
      <c r="B21" s="22" t="s">
        <v>29</v>
      </c>
      <c r="C21" s="23" t="e">
        <f>_xlfn.XLOOKUP($B21,'[1]#REF'!$A$6:$A$21,'[1]#REF'!B$6:B$21)</f>
        <v>#N/A</v>
      </c>
      <c r="D21" s="23" t="e">
        <f>_xlfn.XLOOKUP($B21,'[1]#REF'!$A$6:$A$21,'[1]#REF'!C$6:C$21)</f>
        <v>#N/A</v>
      </c>
      <c r="E21" s="17" t="str">
        <f t="shared" si="0"/>
        <v>-</v>
      </c>
      <c r="F21" s="23" t="e">
        <f>_xlfn.XLOOKUP($B21,'[1]#REF'!$A$6:$A$21,'[1]#REF'!D$6:D$21)</f>
        <v>#N/A</v>
      </c>
      <c r="G21" s="23" t="e">
        <f>_xlfn.XLOOKUP($B21,'[1]#REF'!$A$6:$A$21,'[1]#REF'!E$6:E$21)</f>
        <v>#N/A</v>
      </c>
      <c r="H21" s="17" t="str">
        <f t="shared" si="1"/>
        <v>-</v>
      </c>
      <c r="I21" s="23" t="e">
        <f>_xlfn.XLOOKUP($B21,'[1]#REF'!$A$6:$A$21,'[1]#REF'!F$6:F$21)</f>
        <v>#N/A</v>
      </c>
      <c r="J21" s="23" t="e">
        <f>_xlfn.XLOOKUP($B21,'[1]#REF'!$A$6:$A$21,'[1]#REF'!G$6:G$21)</f>
        <v>#N/A</v>
      </c>
      <c r="K21" s="17" t="str">
        <f t="shared" si="2"/>
        <v>-</v>
      </c>
      <c r="L21" s="23" t="e">
        <f>_xlfn.XLOOKUP($B21,'[1]#REF'!$A$6:$A$21,'[1]#REF'!H$6:H$21)</f>
        <v>#N/A</v>
      </c>
      <c r="M21" s="23" t="e">
        <f>_xlfn.XLOOKUP($B21,'[1]#REF'!$A$6:$A$21,'[1]#REF'!I$6:I$21)</f>
        <v>#N/A</v>
      </c>
      <c r="N21" s="17">
        <f t="shared" si="3"/>
        <v>0</v>
      </c>
      <c r="O21" s="23" t="e">
        <f>_xlfn.XLOOKUP($B21,'[1]#REF'!$A$6:$A$21,'[1]#REF'!J$6:J$21)</f>
        <v>#N/A</v>
      </c>
      <c r="P21" s="23" t="e">
        <f>_xlfn.XLOOKUP($B21,'[1]#REF'!$A$6:$A$21,'[1]#REF'!K$6:K$21)</f>
        <v>#N/A</v>
      </c>
      <c r="Q21" s="18">
        <f t="shared" si="4"/>
        <v>0</v>
      </c>
      <c r="R21" s="24" t="e">
        <f t="shared" si="5"/>
        <v>#N/A</v>
      </c>
      <c r="S21" s="24" t="e">
        <f t="shared" si="6"/>
        <v>#N/A</v>
      </c>
      <c r="T21" s="25" t="e">
        <f t="shared" si="7"/>
        <v>#N/A</v>
      </c>
      <c r="U21" s="25">
        <v>0.0878378378378378</v>
      </c>
      <c r="V21" s="26" t="e">
        <f t="shared" si="8"/>
        <v>#N/A</v>
      </c>
    </row>
    <row r="22" ht="17" customHeight="1" spans="2:22">
      <c r="B22" s="27"/>
      <c r="C22" s="28"/>
      <c r="D22" s="28"/>
      <c r="E22" s="29"/>
      <c r="F22" s="28"/>
      <c r="G22" s="28"/>
      <c r="H22" s="29"/>
      <c r="I22" s="28"/>
      <c r="J22" s="28"/>
      <c r="K22" s="29"/>
      <c r="L22" s="28"/>
      <c r="M22" s="28"/>
      <c r="N22" s="29"/>
      <c r="O22" s="29"/>
      <c r="P22" s="29"/>
      <c r="Q22" s="29"/>
      <c r="R22" s="30"/>
      <c r="S22" s="30"/>
      <c r="T22" s="31"/>
      <c r="U22" s="32"/>
      <c r="V22" s="33"/>
    </row>
    <row r="23" ht="17" customHeight="1" spans="2:22">
      <c r="B23" s="34" t="s">
        <v>30</v>
      </c>
      <c r="C23" s="16" t="e">
        <f>SUM(C6:C7)</f>
        <v>#N/A</v>
      </c>
      <c r="D23" s="16" t="e">
        <f>SUM(D6:D7)</f>
        <v>#N/A</v>
      </c>
      <c r="E23" s="17" t="str">
        <f t="shared" ref="E23:E28" si="9">IFERROR(D23/C23,"-")</f>
        <v>-</v>
      </c>
      <c r="F23" s="16" t="e">
        <f>SUM(F6:F7)</f>
        <v>#N/A</v>
      </c>
      <c r="G23" s="16" t="e">
        <f>SUM(G6:G7)</f>
        <v>#N/A</v>
      </c>
      <c r="H23" s="17" t="str">
        <f t="shared" ref="H23:H28" si="10">IFERROR(G23/F23,"-")</f>
        <v>-</v>
      </c>
      <c r="I23" s="16" t="e">
        <f>SUM(I6:I7)</f>
        <v>#N/A</v>
      </c>
      <c r="J23" s="16" t="e">
        <f>SUM(J6:J7)</f>
        <v>#N/A</v>
      </c>
      <c r="K23" s="17">
        <f t="shared" ref="K23:K29" si="11">IFERROR(J23/I23,0)</f>
        <v>0</v>
      </c>
      <c r="L23" s="16" t="e">
        <f>SUM(L6:L7)</f>
        <v>#N/A</v>
      </c>
      <c r="M23" s="16" t="e">
        <f>SUM(M6:M7)</f>
        <v>#N/A</v>
      </c>
      <c r="N23" s="35">
        <f t="shared" ref="N23:N29" si="12">IFERROR(M23/L23,0)</f>
        <v>0</v>
      </c>
      <c r="O23" s="16" t="e">
        <f>SUM(O6:O7)</f>
        <v>#N/A</v>
      </c>
      <c r="P23" s="16" t="e">
        <f>SUM(P6:P7)</f>
        <v>#N/A</v>
      </c>
      <c r="Q23" s="36">
        <f t="shared" ref="Q23:Q29" si="13">IFERROR(P23/O23,0)</f>
        <v>0</v>
      </c>
      <c r="R23" s="19" t="e">
        <f>SUM(R6:R7)</f>
        <v>#N/A</v>
      </c>
      <c r="S23" s="19" t="e">
        <f>SUM(S6:S7)</f>
        <v>#N/A</v>
      </c>
      <c r="T23" s="20" t="e">
        <f t="shared" ref="T23:T29" si="14">S23/R23</f>
        <v>#N/A</v>
      </c>
      <c r="U23" s="20">
        <v>0.156307129798903</v>
      </c>
      <c r="V23" s="21" t="e">
        <f t="shared" ref="V23:V29" si="15">T23-U23</f>
        <v>#N/A</v>
      </c>
    </row>
    <row r="24" ht="17" customHeight="1" spans="2:22">
      <c r="B24" s="37" t="s">
        <v>31</v>
      </c>
      <c r="C24" s="23" t="e">
        <f>SUM(C8:C10)</f>
        <v>#N/A</v>
      </c>
      <c r="D24" s="23" t="e">
        <f>SUM(D8:D10)</f>
        <v>#N/A</v>
      </c>
      <c r="E24" s="17" t="str">
        <f t="shared" si="9"/>
        <v>-</v>
      </c>
      <c r="F24" s="23" t="e">
        <f>SUM(F8:F10)</f>
        <v>#N/A</v>
      </c>
      <c r="G24" s="23" t="e">
        <f>SUM(G8:G10)</f>
        <v>#N/A</v>
      </c>
      <c r="H24" s="17" t="str">
        <f t="shared" si="10"/>
        <v>-</v>
      </c>
      <c r="I24" s="23" t="e">
        <f>SUM(I8:I10)</f>
        <v>#N/A</v>
      </c>
      <c r="J24" s="23" t="e">
        <f>SUM(J8:J10)</f>
        <v>#N/A</v>
      </c>
      <c r="K24" s="35">
        <f t="shared" si="11"/>
        <v>0</v>
      </c>
      <c r="L24" s="23" t="e">
        <f>SUM(L8:L10)</f>
        <v>#N/A</v>
      </c>
      <c r="M24" s="23" t="e">
        <f>SUM(M8:M10)</f>
        <v>#N/A</v>
      </c>
      <c r="N24" s="35">
        <f t="shared" si="12"/>
        <v>0</v>
      </c>
      <c r="O24" s="23" t="e">
        <f>SUM(O8:O10)</f>
        <v>#N/A</v>
      </c>
      <c r="P24" s="23" t="e">
        <f>SUM(P8:P10)</f>
        <v>#N/A</v>
      </c>
      <c r="Q24" s="36">
        <f t="shared" si="13"/>
        <v>0</v>
      </c>
      <c r="R24" s="24" t="e">
        <f>SUM(R8:R10)</f>
        <v>#N/A</v>
      </c>
      <c r="S24" s="24" t="e">
        <f>SUM(S8:S10)</f>
        <v>#N/A</v>
      </c>
      <c r="T24" s="25" t="e">
        <f t="shared" si="14"/>
        <v>#N/A</v>
      </c>
      <c r="U24" s="25">
        <v>0.108739837398374</v>
      </c>
      <c r="V24" s="26" t="e">
        <f t="shared" si="15"/>
        <v>#N/A</v>
      </c>
    </row>
    <row r="25" ht="17" customHeight="1" spans="2:22">
      <c r="B25" s="34" t="s">
        <v>32</v>
      </c>
      <c r="C25" s="16" t="e">
        <f>SUM(C11:C12)</f>
        <v>#N/A</v>
      </c>
      <c r="D25" s="16" t="e">
        <f>SUM(D11:D12)</f>
        <v>#N/A</v>
      </c>
      <c r="E25" s="17" t="str">
        <f t="shared" si="9"/>
        <v>-</v>
      </c>
      <c r="F25" s="16" t="e">
        <f>SUM(F11:F12)</f>
        <v>#N/A</v>
      </c>
      <c r="G25" s="16" t="e">
        <f>SUM(G11:G12)</f>
        <v>#N/A</v>
      </c>
      <c r="H25" s="17" t="str">
        <f t="shared" si="10"/>
        <v>-</v>
      </c>
      <c r="I25" s="16" t="e">
        <f>SUM(I11:I12)</f>
        <v>#N/A</v>
      </c>
      <c r="J25" s="16" t="e">
        <f>SUM(J11:J12)</f>
        <v>#N/A</v>
      </c>
      <c r="K25" s="17">
        <f t="shared" si="11"/>
        <v>0</v>
      </c>
      <c r="L25" s="16" t="e">
        <f>SUM(L11:L12)</f>
        <v>#N/A</v>
      </c>
      <c r="M25" s="16" t="e">
        <f>SUM(M11:M12)</f>
        <v>#N/A</v>
      </c>
      <c r="N25" s="17">
        <f t="shared" si="12"/>
        <v>0</v>
      </c>
      <c r="O25" s="16" t="e">
        <f>SUM(O11:O12)</f>
        <v>#N/A</v>
      </c>
      <c r="P25" s="16" t="e">
        <f>SUM(P11:P12)</f>
        <v>#N/A</v>
      </c>
      <c r="Q25" s="18">
        <f t="shared" si="13"/>
        <v>0</v>
      </c>
      <c r="R25" s="19" t="e">
        <f>SUM(R11:R12)</f>
        <v>#N/A</v>
      </c>
      <c r="S25" s="19" t="e">
        <f>SUM(S11:S12)</f>
        <v>#N/A</v>
      </c>
      <c r="T25" s="20" t="e">
        <f t="shared" si="14"/>
        <v>#N/A</v>
      </c>
      <c r="U25" s="20">
        <v>0.0899209486166008</v>
      </c>
      <c r="V25" s="21" t="e">
        <f t="shared" si="15"/>
        <v>#N/A</v>
      </c>
    </row>
    <row r="26" ht="17" customHeight="1" spans="2:22">
      <c r="B26" s="37" t="s">
        <v>33</v>
      </c>
      <c r="C26" s="23" t="e">
        <f>SUM(C13:C16)</f>
        <v>#N/A</v>
      </c>
      <c r="D26" s="23" t="e">
        <f>SUM(D13:D16)</f>
        <v>#N/A</v>
      </c>
      <c r="E26" s="17" t="str">
        <f t="shared" si="9"/>
        <v>-</v>
      </c>
      <c r="F26" s="23" t="e">
        <f>SUM(F13:F16)</f>
        <v>#N/A</v>
      </c>
      <c r="G26" s="23" t="e">
        <f>SUM(G13:G16)</f>
        <v>#N/A</v>
      </c>
      <c r="H26" s="17" t="str">
        <f t="shared" si="10"/>
        <v>-</v>
      </c>
      <c r="I26" s="23" t="e">
        <f>SUM(I13:I16)</f>
        <v>#N/A</v>
      </c>
      <c r="J26" s="23" t="e">
        <f>SUM(J13:J16)</f>
        <v>#N/A</v>
      </c>
      <c r="K26" s="35">
        <f t="shared" si="11"/>
        <v>0</v>
      </c>
      <c r="L26" s="23" t="e">
        <f>SUM(L13:L16)</f>
        <v>#N/A</v>
      </c>
      <c r="M26" s="23" t="e">
        <f>SUM(M13:M16)</f>
        <v>#N/A</v>
      </c>
      <c r="N26" s="35">
        <f t="shared" si="12"/>
        <v>0</v>
      </c>
      <c r="O26" s="23" t="e">
        <f>SUM(O13:O16)</f>
        <v>#N/A</v>
      </c>
      <c r="P26" s="23" t="e">
        <f>SUM(P13:P16)</f>
        <v>#N/A</v>
      </c>
      <c r="Q26" s="36">
        <f t="shared" si="13"/>
        <v>0</v>
      </c>
      <c r="R26" s="24" t="e">
        <f>SUM(R13:R16)</f>
        <v>#N/A</v>
      </c>
      <c r="S26" s="24" t="e">
        <f>SUM(S13:S16)</f>
        <v>#N/A</v>
      </c>
      <c r="T26" s="25" t="e">
        <f t="shared" si="14"/>
        <v>#N/A</v>
      </c>
      <c r="U26" s="25">
        <v>0.0789930555555556</v>
      </c>
      <c r="V26" s="26" t="e">
        <f t="shared" si="15"/>
        <v>#N/A</v>
      </c>
    </row>
    <row r="27" ht="17" customHeight="1" spans="2:22">
      <c r="B27" s="34" t="s">
        <v>27</v>
      </c>
      <c r="C27" s="16" t="e">
        <f>SUM(C17:C19)</f>
        <v>#N/A</v>
      </c>
      <c r="D27" s="16" t="e">
        <f>SUM(D17:D19)</f>
        <v>#N/A</v>
      </c>
      <c r="E27" s="17" t="str">
        <f t="shared" si="9"/>
        <v>-</v>
      </c>
      <c r="F27" s="16" t="e">
        <f>SUM(F17:F19)</f>
        <v>#N/A</v>
      </c>
      <c r="G27" s="16" t="e">
        <f>SUM(G17:G19)</f>
        <v>#N/A</v>
      </c>
      <c r="H27" s="17" t="str">
        <f t="shared" si="10"/>
        <v>-</v>
      </c>
      <c r="I27" s="16" t="e">
        <f>SUM(I17:I19)</f>
        <v>#N/A</v>
      </c>
      <c r="J27" s="16" t="e">
        <f>SUM(J17:J19)</f>
        <v>#N/A</v>
      </c>
      <c r="K27" s="17">
        <f t="shared" si="11"/>
        <v>0</v>
      </c>
      <c r="L27" s="16" t="e">
        <f>SUM(L17:L19)</f>
        <v>#N/A</v>
      </c>
      <c r="M27" s="16" t="e">
        <f>SUM(M17:M19)</f>
        <v>#N/A</v>
      </c>
      <c r="N27" s="17">
        <f t="shared" si="12"/>
        <v>0</v>
      </c>
      <c r="O27" s="16" t="e">
        <f>SUM(O17:O19)</f>
        <v>#N/A</v>
      </c>
      <c r="P27" s="16" t="e">
        <f>SUM(P17:P19)</f>
        <v>#N/A</v>
      </c>
      <c r="Q27" s="18">
        <f t="shared" si="13"/>
        <v>0</v>
      </c>
      <c r="R27" s="19" t="e">
        <f>SUM(R17:R19)</f>
        <v>#N/A</v>
      </c>
      <c r="S27" s="19" t="e">
        <f>SUM(S17:S19)</f>
        <v>#N/A</v>
      </c>
      <c r="T27" s="20" t="e">
        <f t="shared" si="14"/>
        <v>#N/A</v>
      </c>
      <c r="U27" s="20">
        <v>0.189285714285714</v>
      </c>
      <c r="V27" s="21" t="e">
        <f t="shared" si="15"/>
        <v>#N/A</v>
      </c>
    </row>
    <row r="28" ht="17" customHeight="1" spans="2:22">
      <c r="B28" s="37" t="s">
        <v>34</v>
      </c>
      <c r="C28" s="23" t="e">
        <f>SUM(C20:C21)</f>
        <v>#N/A</v>
      </c>
      <c r="D28" s="23" t="e">
        <f>SUM(D20:D21)</f>
        <v>#N/A</v>
      </c>
      <c r="E28" s="17" t="str">
        <f t="shared" si="9"/>
        <v>-</v>
      </c>
      <c r="F28" s="23" t="e">
        <f>SUM(F20:F21)</f>
        <v>#N/A</v>
      </c>
      <c r="G28" s="23" t="e">
        <f>SUM(G20:G21)</f>
        <v>#N/A</v>
      </c>
      <c r="H28" s="17" t="str">
        <f t="shared" si="10"/>
        <v>-</v>
      </c>
      <c r="I28" s="23" t="e">
        <f>SUM(I20:I21)</f>
        <v>#N/A</v>
      </c>
      <c r="J28" s="23" t="e">
        <f>SUM(J20:J21)</f>
        <v>#N/A</v>
      </c>
      <c r="K28" s="35">
        <f t="shared" si="11"/>
        <v>0</v>
      </c>
      <c r="L28" s="23" t="e">
        <f>SUM(L20:L21)</f>
        <v>#N/A</v>
      </c>
      <c r="M28" s="23" t="e">
        <f>SUM(M20:M21)</f>
        <v>#N/A</v>
      </c>
      <c r="N28" s="17">
        <f t="shared" si="12"/>
        <v>0</v>
      </c>
      <c r="O28" s="23" t="e">
        <f>SUM(O20:O21)</f>
        <v>#N/A</v>
      </c>
      <c r="P28" s="23" t="e">
        <f>SUM(P20:P21)</f>
        <v>#N/A</v>
      </c>
      <c r="Q28" s="18">
        <f t="shared" si="13"/>
        <v>0</v>
      </c>
      <c r="R28" s="24" t="e">
        <f>SUM(R20:R21)</f>
        <v>#N/A</v>
      </c>
      <c r="S28" s="24" t="e">
        <f>SUM(S20:S21)</f>
        <v>#N/A</v>
      </c>
      <c r="T28" s="25" t="e">
        <f t="shared" si="14"/>
        <v>#N/A</v>
      </c>
      <c r="U28" s="25">
        <v>0.104020979020979</v>
      </c>
      <c r="V28" s="26" t="e">
        <f t="shared" si="15"/>
        <v>#N/A</v>
      </c>
    </row>
    <row r="29" ht="17" customHeight="1" spans="2:22">
      <c r="B29" s="38" t="s">
        <v>35</v>
      </c>
      <c r="C29" s="39" t="e">
        <f>SUM(C23:C28)</f>
        <v>#N/A</v>
      </c>
      <c r="D29" s="39" t="e">
        <f>SUM(D23:D28)</f>
        <v>#N/A</v>
      </c>
      <c r="E29" s="40">
        <f>IFERROR(D29/C29,0)</f>
        <v>0</v>
      </c>
      <c r="F29" s="39" t="e">
        <f>SUM(F23:F28)</f>
        <v>#N/A</v>
      </c>
      <c r="G29" s="39" t="e">
        <f>SUM(G23:G28)</f>
        <v>#N/A</v>
      </c>
      <c r="H29" s="40">
        <f>IFERROR(G29/F29,0)</f>
        <v>0</v>
      </c>
      <c r="I29" s="39" t="e">
        <f>SUM(I23:I28)</f>
        <v>#N/A</v>
      </c>
      <c r="J29" s="39" t="e">
        <f>SUM(J23:J28)</f>
        <v>#N/A</v>
      </c>
      <c r="K29" s="40">
        <f t="shared" si="11"/>
        <v>0</v>
      </c>
      <c r="L29" s="39" t="e">
        <f>SUM(L23:L28)</f>
        <v>#N/A</v>
      </c>
      <c r="M29" s="39" t="e">
        <f>SUM(M23:M28)</f>
        <v>#N/A</v>
      </c>
      <c r="N29" s="40">
        <f t="shared" si="12"/>
        <v>0</v>
      </c>
      <c r="O29" s="39" t="e">
        <f>SUM(O23:O28)</f>
        <v>#N/A</v>
      </c>
      <c r="P29" s="39" t="e">
        <f>SUM(P23:P28)</f>
        <v>#N/A</v>
      </c>
      <c r="Q29" s="41">
        <f t="shared" si="13"/>
        <v>0</v>
      </c>
      <c r="R29" s="42" t="e">
        <f>SUM(R23:R28)</f>
        <v>#N/A</v>
      </c>
      <c r="S29" s="42" t="e">
        <f>SUM(S23:S28)</f>
        <v>#N/A</v>
      </c>
      <c r="T29" s="43" t="e">
        <f t="shared" si="14"/>
        <v>#N/A</v>
      </c>
      <c r="U29" s="43">
        <v>0.110612304974978</v>
      </c>
      <c r="V29" s="44" t="e">
        <f t="shared" si="15"/>
        <v>#N/A</v>
      </c>
    </row>
  </sheetData>
  <mergeCells count="8">
    <mergeCell ref="C3:V3"/>
    <mergeCell ref="C4:E4"/>
    <mergeCell ref="F4:H4"/>
    <mergeCell ref="I4:K4"/>
    <mergeCell ref="L4:N4"/>
    <mergeCell ref="O4:Q4"/>
    <mergeCell ref="R4:T4"/>
    <mergeCell ref="B3:B5"/>
  </mergeCells>
  <conditionalFormatting sqref="E6:E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6:H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3:H2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:K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3:K2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6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23:N2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:Q21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3:Q2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:U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3:U2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Report - Occupancy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willybrordus_b_satria</dc:creator>
  <cp:lastModifiedBy>NUGROHO GHATHFAAN R</cp:lastModifiedBy>
  <dcterms:created xsi:type="dcterms:W3CDTF">2026-07-20T04:23:00Z</dcterms:created>
  <dcterms:modified xsi:type="dcterms:W3CDTF">2026-07-23T04:20:27Z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5caaddc-90a0-4995-b524-c269e4395a58_Enabled">
    <vt:lpwstr>true</vt:lpwstr>
  </property>
  <property fmtid="{D5CDD505-2E9C-101B-9397-08002B2CF9AE}" pid="3" name="MSIP_Label_d5caaddc-90a0-4995-b524-c269e4395a58_SetDate">
    <vt:lpwstr>2026-07-20T05:48:13Z</vt:lpwstr>
  </property>
  <property fmtid="{D5CDD505-2E9C-101B-9397-08002B2CF9AE}" pid="4" name="MSIP_Label_d5caaddc-90a0-4995-b524-c269e4395a58_Method">
    <vt:lpwstr>Standard</vt:lpwstr>
  </property>
  <property fmtid="{D5CDD505-2E9C-101B-9397-08002B2CF9AE}" pid="5" name="MSIP_Label_d5caaddc-90a0-4995-b524-c269e4395a58_Name">
    <vt:lpwstr>Internal</vt:lpwstr>
  </property>
  <property fmtid="{D5CDD505-2E9C-101B-9397-08002B2CF9AE}" pid="6" name="MSIP_Label_d5caaddc-90a0-4995-b524-c269e4395a58_SiteId">
    <vt:lpwstr>fc743075-93ed-4a5c-82c0-ca5eac914220</vt:lpwstr>
  </property>
  <property fmtid="{D5CDD505-2E9C-101B-9397-08002B2CF9AE}" pid="7" name="MSIP_Label_d5caaddc-90a0-4995-b524-c269e4395a58_ActionId">
    <vt:lpwstr>e3e50e5a-09ba-4789-b12c-8cfeed3ff298</vt:lpwstr>
  </property>
  <property fmtid="{D5CDD505-2E9C-101B-9397-08002B2CF9AE}" pid="8" name="MSIP_Label_d5caaddc-90a0-4995-b524-c269e4395a58_ContentBits">
    <vt:lpwstr>2</vt:lpwstr>
  </property>
  <property fmtid="{D5CDD505-2E9C-101B-9397-08002B2CF9AE}" pid="9" name="MSIP_Label_d5caaddc-90a0-4995-b524-c269e4395a58_Tag">
    <vt:lpwstr>10, 3, 0, 1</vt:lpwstr>
  </property>
  <property fmtid="{D5CDD505-2E9C-101B-9397-08002B2CF9AE}" pid="10" name="ICV">
    <vt:lpwstr>2F00B5326CC74A9A94C33684BBB2C463_12</vt:lpwstr>
  </property>
  <property fmtid="{D5CDD505-2E9C-101B-9397-08002B2CF9AE}" pid="11" name="KSOProductBuildVer">
    <vt:lpwstr>1033-12.1.0.27458</vt:lpwstr>
  </property>
  <property fmtid="{D5CDD505-2E9C-101B-9397-08002B2CF9AE}" pid="12" name="CalculationRule">
    <vt:i4>0</vt:i4>
  </property>
</Properties>
</file>