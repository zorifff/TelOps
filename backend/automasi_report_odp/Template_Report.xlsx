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eport - Occupancy" sheetId="1" state="visible" r:id="rId1"/>
  </sheets>
  <definedNames/>
  <calcPr calcId="191029" fullCalcOnLoad="1" calcCompleted="0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0.0%"/>
    <numFmt numFmtId="166" formatCode="0_);\(0\)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0"/>
      <scheme val="minor"/>
    </font>
    <font>
      <name val="Aptos Narrow"/>
      <family val="2"/>
      <color theme="1"/>
      <sz val="9"/>
      <scheme val="minor"/>
    </font>
    <font>
      <name val="Aptos Narrow"/>
      <family val="2"/>
      <b val="1"/>
      <color theme="0"/>
      <sz val="9"/>
      <scheme val="minor"/>
    </font>
    <font>
      <name val="Poppins"/>
      <color rgb="FF000000"/>
      <sz val="9"/>
    </font>
    <font>
      <name val="Poppins"/>
      <b val="1"/>
      <color theme="0"/>
      <sz val="9"/>
    </font>
    <font>
      <name val="Poppins"/>
      <color theme="0"/>
      <sz val="9"/>
    </font>
    <font>
      <name val="Poppins"/>
      <color theme="1"/>
      <sz val="9"/>
    </font>
    <font>
      <name val="Poppins"/>
      <b val="1"/>
      <color theme="1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b val="1"/>
      <i val="1"/>
      <color theme="1"/>
      <sz val="11"/>
      <scheme val="minor"/>
    </font>
    <font>
      <name val="Poppins"/>
      <b val="1"/>
      <color theme="0"/>
      <sz val="8"/>
    </font>
    <font>
      <name val="Poppins"/>
      <color theme="1"/>
      <sz val="8"/>
    </font>
  </fonts>
  <fills count="15">
    <fill>
      <patternFill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6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 tint="-0.1499679555650502"/>
      </right>
      <top style="thin">
        <color theme="0" tint="-0.1499679555650502"/>
      </top>
      <bottom/>
      <diagonal/>
    </border>
    <border>
      <left style="thin">
        <color theme="0" tint="-0.1499679555650502"/>
      </left>
      <right/>
      <top/>
      <bottom style="thin">
        <color theme="0" tint="-0.0499893185216834"/>
      </bottom>
      <diagonal/>
    </border>
    <border>
      <left/>
      <right/>
      <top/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/>
      <top/>
      <bottom/>
      <diagonal/>
    </border>
    <border>
      <left/>
      <right style="thin">
        <color theme="0" tint="-0.0499893185216834"/>
      </right>
      <top/>
      <bottom/>
      <diagonal/>
    </border>
    <border>
      <left/>
      <right style="thin">
        <color theme="0" tint="-0.1499679555650502"/>
      </right>
      <top/>
      <bottom/>
      <diagonal/>
    </border>
    <border>
      <left/>
      <right style="thin">
        <color theme="0" tint="-0.0499893185216834"/>
      </right>
      <top style="thin">
        <color theme="0" tint="-0.0499893185216834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0" tint="-0.0499893185216834"/>
      </top>
      <bottom/>
      <diagonal/>
    </border>
    <border>
      <left/>
      <right/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/>
      <top/>
      <bottom style="thin">
        <color theme="0" tint="-0.0499893185216834"/>
      </bottom>
      <diagonal/>
    </border>
    <border>
      <left/>
      <right style="thin">
        <color theme="0" tint="-0.0499893185216834"/>
      </right>
      <top/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129">
    <xf numFmtId="0" fontId="0" fillId="0" borderId="0" pivotButton="0" quotePrefix="0" xfId="0"/>
    <xf numFmtId="1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" fontId="4" fillId="0" borderId="0" pivotButton="0" quotePrefix="0" xfId="0"/>
    <xf numFmtId="14" fontId="4" fillId="0" borderId="0" pivotButton="0" quotePrefix="0" xfId="0"/>
    <xf numFmtId="0" fontId="5" fillId="2" borderId="0" pivotButton="0" quotePrefix="0" xfId="0"/>
    <xf numFmtId="164" fontId="5" fillId="2" borderId="0" pivotButton="0" quotePrefix="0" xfId="0"/>
    <xf numFmtId="1" fontId="5" fillId="2" borderId="0" pivotButton="0" quotePrefix="0" xfId="0"/>
    <xf numFmtId="14" fontId="5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pivotButton="1" quotePrefix="0" xfId="0"/>
    <xf numFmtId="0" fontId="6" fillId="4" borderId="10" applyAlignment="1" pivotButton="0" quotePrefix="0" xfId="0">
      <alignment horizontal="left" vertical="center"/>
    </xf>
    <xf numFmtId="0" fontId="6" fillId="5" borderId="10" applyAlignment="1" pivotButton="0" quotePrefix="0" xfId="0">
      <alignment horizontal="left" vertical="center"/>
    </xf>
    <xf numFmtId="0" fontId="7" fillId="6" borderId="10" applyAlignment="1" pivotButton="0" quotePrefix="0" xfId="0">
      <alignment horizontal="left" vertical="center"/>
    </xf>
    <xf numFmtId="0" fontId="6" fillId="4" borderId="10" applyAlignment="1" pivotButton="0" quotePrefix="0" xfId="0">
      <alignment vertical="center"/>
    </xf>
    <xf numFmtId="0" fontId="6" fillId="5" borderId="10" applyAlignment="1" pivotButton="0" quotePrefix="0" xfId="0">
      <alignment vertical="center"/>
    </xf>
    <xf numFmtId="0" fontId="7" fillId="2" borderId="1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2">
      <alignment horizontal="center"/>
    </xf>
    <xf numFmtId="0" fontId="0" fillId="0" borderId="0" pivotButton="0" quotePrefix="0" xfId="0"/>
    <xf numFmtId="0" fontId="6" fillId="7" borderId="11" applyAlignment="1" pivotButton="0" quotePrefix="0" xfId="0">
      <alignment horizontal="left" vertical="center"/>
    </xf>
    <xf numFmtId="0" fontId="6" fillId="5" borderId="11" applyAlignment="1" pivotButton="0" quotePrefix="0" xfId="0">
      <alignment horizontal="left" vertical="center"/>
    </xf>
    <xf numFmtId="0" fontId="7" fillId="6" borderId="11" applyAlignment="1" pivotButton="0" quotePrefix="0" xfId="0">
      <alignment horizontal="left" vertical="center"/>
    </xf>
    <xf numFmtId="0" fontId="6" fillId="4" borderId="11" applyAlignment="1" pivotButton="0" quotePrefix="0" xfId="0">
      <alignment vertical="center"/>
    </xf>
    <xf numFmtId="0" fontId="6" fillId="5" borderId="11" applyAlignment="1" pivotButton="0" quotePrefix="0" xfId="0">
      <alignment vertical="center"/>
    </xf>
    <xf numFmtId="0" fontId="7" fillId="2" borderId="11" applyAlignment="1" pivotButton="0" quotePrefix="0" xfId="0">
      <alignment horizontal="left" vertical="center"/>
    </xf>
    <xf numFmtId="0" fontId="0" fillId="6" borderId="11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center" vertical="center" wrapText="1"/>
    </xf>
    <xf numFmtId="164" fontId="7" fillId="3" borderId="5" applyAlignment="1" pivotButton="0" quotePrefix="0" xfId="1">
      <alignment horizontal="center" vertical="center" wrapText="1"/>
    </xf>
    <xf numFmtId="164" fontId="7" fillId="3" borderId="6" applyAlignment="1" pivotButton="0" quotePrefix="0" xfId="1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164" fontId="7" fillId="3" borderId="8" applyAlignment="1" pivotButton="0" quotePrefix="0" xfId="1">
      <alignment horizontal="center" vertical="center" wrapText="1"/>
    </xf>
    <xf numFmtId="164" fontId="7" fillId="3" borderId="9" applyAlignment="1" pivotButton="0" quotePrefix="0" xfId="1">
      <alignment horizontal="center" vertical="center" wrapText="1"/>
    </xf>
    <xf numFmtId="0" fontId="7" fillId="3" borderId="9" applyAlignment="1" pivotButton="0" quotePrefix="0" xfId="0">
      <alignment horizontal="center" vertical="center" wrapText="1"/>
    </xf>
    <xf numFmtId="0" fontId="9" fillId="7" borderId="11" applyAlignment="1" pivotButton="0" quotePrefix="0" xfId="0">
      <alignment horizontal="center" vertical="center"/>
    </xf>
    <xf numFmtId="165" fontId="9" fillId="7" borderId="11" applyAlignment="1" pivotButton="0" quotePrefix="0" xfId="2">
      <alignment horizontal="center" vertical="center"/>
    </xf>
    <xf numFmtId="166" fontId="9" fillId="7" borderId="11" applyAlignment="1" pivotButton="0" quotePrefix="0" xfId="0">
      <alignment horizontal="center"/>
    </xf>
    <xf numFmtId="0" fontId="9" fillId="0" borderId="11" applyAlignment="1" pivotButton="0" quotePrefix="0" xfId="0">
      <alignment horizontal="center" vertical="center"/>
    </xf>
    <xf numFmtId="165" fontId="9" fillId="0" borderId="11" applyAlignment="1" pivotButton="0" quotePrefix="0" xfId="2">
      <alignment horizontal="center" vertical="center"/>
    </xf>
    <xf numFmtId="166" fontId="9" fillId="0" borderId="11" applyAlignment="1" pivotButton="0" quotePrefix="0" xfId="0">
      <alignment horizontal="center"/>
    </xf>
    <xf numFmtId="3" fontId="9" fillId="0" borderId="11" applyAlignment="1" pivotButton="0" quotePrefix="0" xfId="0">
      <alignment horizontal="center" vertical="center"/>
    </xf>
    <xf numFmtId="9" fontId="9" fillId="0" borderId="11" applyAlignment="1" pivotButton="0" quotePrefix="0" xfId="2">
      <alignment horizontal="center" vertical="center"/>
    </xf>
    <xf numFmtId="0" fontId="7" fillId="2" borderId="11" applyAlignment="1" pivotButton="0" quotePrefix="0" xfId="0">
      <alignment horizontal="center" vertical="center"/>
    </xf>
    <xf numFmtId="3" fontId="7" fillId="2" borderId="11" applyAlignment="1" pivotButton="0" quotePrefix="0" xfId="0">
      <alignment horizontal="center" vertical="center"/>
    </xf>
    <xf numFmtId="165" fontId="7" fillId="2" borderId="11" applyAlignment="1" pivotButton="0" quotePrefix="0" xfId="2">
      <alignment horizontal="center" vertical="center"/>
    </xf>
    <xf numFmtId="166" fontId="7" fillId="2" borderId="11" applyAlignment="1" pivotButton="0" quotePrefix="0" xfId="0">
      <alignment horizontal="center"/>
    </xf>
    <xf numFmtId="165" fontId="9" fillId="7" borderId="11" applyAlignment="1" pivotButton="0" quotePrefix="0" xfId="2">
      <alignment horizontal="center"/>
    </xf>
    <xf numFmtId="165" fontId="9" fillId="0" borderId="11" applyAlignment="1" pivotButton="0" quotePrefix="0" xfId="2">
      <alignment horizontal="center"/>
    </xf>
    <xf numFmtId="165" fontId="0" fillId="6" borderId="11" applyAlignment="1" pivotButton="0" quotePrefix="0" xfId="0">
      <alignment horizontal="center" vertical="center"/>
    </xf>
    <xf numFmtId="165" fontId="9" fillId="0" borderId="11" applyAlignment="1" pivotButton="0" quotePrefix="0" xfId="0">
      <alignment horizontal="center" vertical="center"/>
    </xf>
    <xf numFmtId="165" fontId="7" fillId="2" borderId="11" applyAlignment="1" pivotButton="0" quotePrefix="0" xfId="0">
      <alignment horizontal="center" vertical="center"/>
    </xf>
    <xf numFmtId="165" fontId="7" fillId="2" borderId="11" applyAlignment="1" pivotButton="0" quotePrefix="0" xfId="2">
      <alignment horizontal="center"/>
    </xf>
    <xf numFmtId="165" fontId="9" fillId="7" borderId="11" applyAlignment="1" pivotButton="0" quotePrefix="0" xfId="2">
      <alignment horizontal="right"/>
    </xf>
    <xf numFmtId="165" fontId="9" fillId="0" borderId="11" applyAlignment="1" pivotButton="0" quotePrefix="0" xfId="2">
      <alignment horizontal="right"/>
    </xf>
    <xf numFmtId="0" fontId="0" fillId="6" borderId="11" applyAlignment="1" pivotButton="0" quotePrefix="0" xfId="0">
      <alignment horizontal="right"/>
    </xf>
    <xf numFmtId="165" fontId="7" fillId="2" borderId="11" applyAlignment="1" pivotButton="0" quotePrefix="0" xfId="2">
      <alignment horizontal="right"/>
    </xf>
    <xf numFmtId="0" fontId="10" fillId="0" borderId="0" applyAlignment="1" pivotButton="0" quotePrefix="0" xfId="0">
      <alignment horizontal="left" vertical="center"/>
    </xf>
    <xf numFmtId="15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0" fillId="5" borderId="0" pivotButton="0" quotePrefix="0" xfId="0"/>
    <xf numFmtId="0" fontId="0" fillId="5" borderId="0" pivotButton="0" quotePrefix="0" xfId="0"/>
    <xf numFmtId="15" fontId="11" fillId="5" borderId="12" pivotButton="0" quotePrefix="0" xfId="0"/>
    <xf numFmtId="0" fontId="7" fillId="8" borderId="10" applyAlignment="1" pivotButton="0" quotePrefix="0" xfId="0">
      <alignment horizontal="left" vertical="center"/>
    </xf>
    <xf numFmtId="0" fontId="7" fillId="9" borderId="13" applyAlignment="1" pivotButton="0" quotePrefix="0" xfId="0">
      <alignment horizontal="center" vertical="center"/>
    </xf>
    <xf numFmtId="0" fontId="7" fillId="9" borderId="0" applyAlignment="1" pivotButton="0" quotePrefix="0" xfId="0">
      <alignment horizontal="center" vertical="center"/>
    </xf>
    <xf numFmtId="0" fontId="7" fillId="9" borderId="10" applyAlignment="1" pivotButton="0" quotePrefix="0" xfId="0">
      <alignment horizontal="center" vertical="center"/>
    </xf>
    <xf numFmtId="0" fontId="7" fillId="9" borderId="14" applyAlignment="1" pivotButton="0" quotePrefix="0" xfId="0">
      <alignment horizontal="center" vertical="center"/>
    </xf>
    <xf numFmtId="0" fontId="7" fillId="9" borderId="11" applyAlignment="1" pivotButton="0" quotePrefix="0" xfId="0">
      <alignment horizontal="center" vertical="center"/>
    </xf>
    <xf numFmtId="0" fontId="7" fillId="9" borderId="11" applyAlignment="1" pivotButton="0" quotePrefix="0" xfId="0">
      <alignment horizontal="center" vertical="center"/>
    </xf>
    <xf numFmtId="0" fontId="7" fillId="9" borderId="10" applyAlignment="1" pivotButton="0" quotePrefix="0" xfId="0">
      <alignment horizontal="center" vertical="center"/>
    </xf>
    <xf numFmtId="0" fontId="7" fillId="9" borderId="14" applyAlignment="1" pivotButton="0" quotePrefix="0" xfId="0">
      <alignment horizontal="center" vertical="center"/>
    </xf>
    <xf numFmtId="3" fontId="6" fillId="10" borderId="10" applyAlignment="1" pivotButton="0" quotePrefix="0" xfId="0">
      <alignment horizontal="center" vertical="center"/>
    </xf>
    <xf numFmtId="165" fontId="6" fillId="4" borderId="10" applyAlignment="1" pivotButton="0" quotePrefix="0" xfId="2">
      <alignment horizontal="center" vertical="center"/>
    </xf>
    <xf numFmtId="165" fontId="6" fillId="4" borderId="14" applyAlignment="1" pivotButton="0" quotePrefix="0" xfId="2">
      <alignment horizontal="center" vertical="center"/>
    </xf>
    <xf numFmtId="3" fontId="6" fillId="10" borderId="11" applyAlignment="1" pivotButton="0" quotePrefix="0" xfId="0">
      <alignment horizontal="center" vertical="center"/>
    </xf>
    <xf numFmtId="165" fontId="6" fillId="4" borderId="11" applyAlignment="1" pivotButton="0" quotePrefix="0" xfId="2">
      <alignment horizontal="center" vertical="center"/>
    </xf>
    <xf numFmtId="10" fontId="6" fillId="4" borderId="11" applyAlignment="1" pivotButton="0" quotePrefix="0" xfId="2">
      <alignment horizontal="center" vertical="center"/>
    </xf>
    <xf numFmtId="3" fontId="6" fillId="5" borderId="10" applyAlignment="1" pivotButton="0" quotePrefix="0" xfId="0">
      <alignment horizontal="center" vertical="center"/>
    </xf>
    <xf numFmtId="3" fontId="6" fillId="5" borderId="11" applyAlignment="1" pivotButton="0" quotePrefix="0" xfId="0">
      <alignment horizontal="center" vertical="center"/>
    </xf>
    <xf numFmtId="165" fontId="6" fillId="5" borderId="11" applyAlignment="1" pivotButton="0" quotePrefix="0" xfId="2">
      <alignment horizontal="center" vertical="center"/>
    </xf>
    <xf numFmtId="10" fontId="6" fillId="5" borderId="11" applyAlignment="1" pivotButton="0" quotePrefix="0" xfId="2">
      <alignment horizontal="center" vertical="center"/>
    </xf>
    <xf numFmtId="3" fontId="7" fillId="11" borderId="10" applyAlignment="1" pivotButton="0" quotePrefix="0" xfId="0">
      <alignment horizontal="center" vertical="center"/>
    </xf>
    <xf numFmtId="165" fontId="7" fillId="6" borderId="10" applyAlignment="1" pivotButton="0" quotePrefix="0" xfId="2">
      <alignment horizontal="center" vertical="center"/>
    </xf>
    <xf numFmtId="3" fontId="7" fillId="11" borderId="15" applyAlignment="1" pivotButton="0" quotePrefix="0" xfId="0">
      <alignment horizontal="center" vertical="center"/>
    </xf>
    <xf numFmtId="165" fontId="8" fillId="6" borderId="15" applyAlignment="1" pivotButton="0" quotePrefix="0" xfId="2">
      <alignment horizontal="center" vertical="center"/>
    </xf>
    <xf numFmtId="10" fontId="8" fillId="6" borderId="0" applyAlignment="1" pivotButton="0" quotePrefix="0" xfId="2">
      <alignment horizontal="center" vertical="center"/>
    </xf>
    <xf numFmtId="165" fontId="6" fillId="5" borderId="10" applyAlignment="1" pivotButton="0" quotePrefix="0" xfId="2">
      <alignment horizontal="center" vertical="center"/>
    </xf>
    <xf numFmtId="165" fontId="6" fillId="5" borderId="14" applyAlignment="1" pivotButton="0" quotePrefix="0" xfId="2">
      <alignment horizontal="center" vertical="center"/>
    </xf>
    <xf numFmtId="3" fontId="7" fillId="12" borderId="10" applyAlignment="1" pivotButton="0" quotePrefix="0" xfId="0">
      <alignment horizontal="center" vertical="center"/>
    </xf>
    <xf numFmtId="165" fontId="7" fillId="2" borderId="10" applyAlignment="1" pivotButton="0" quotePrefix="0" xfId="2">
      <alignment horizontal="center" vertical="center"/>
    </xf>
    <xf numFmtId="165" fontId="7" fillId="2" borderId="14" applyAlignment="1" pivotButton="0" quotePrefix="0" xfId="2">
      <alignment horizontal="center" vertical="center"/>
    </xf>
    <xf numFmtId="3" fontId="7" fillId="12" borderId="11" applyAlignment="1" pivotButton="0" quotePrefix="0" xfId="0">
      <alignment horizontal="center" vertical="center"/>
    </xf>
    <xf numFmtId="10" fontId="7" fillId="2" borderId="11" applyAlignment="1" pivotButton="0" quotePrefix="0" xfId="2">
      <alignment horizontal="center" vertical="center"/>
    </xf>
    <xf numFmtId="0" fontId="4" fillId="0" borderId="0" pivotButton="1" quotePrefix="0" xfId="0"/>
    <xf numFmtId="0" fontId="4" fillId="0" borderId="0" applyAlignment="1" pivotButton="0" quotePrefix="0" xfId="0">
      <alignment horizontal="left"/>
    </xf>
    <xf numFmtId="0" fontId="4" fillId="0" borderId="0" pivotButton="0" quotePrefix="0" xfId="0"/>
    <xf numFmtId="165" fontId="8" fillId="6" borderId="0" applyAlignment="1" pivotButton="0" quotePrefix="0" xfId="2">
      <alignment horizontal="center" vertical="center"/>
    </xf>
    <xf numFmtId="0" fontId="3" fillId="0" borderId="0" pivotButton="1" quotePrefix="0" xfId="0"/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0" fontId="13" fillId="2" borderId="11" applyAlignment="1" pivotButton="0" quotePrefix="0" xfId="0">
      <alignment horizontal="center"/>
    </xf>
    <xf numFmtId="165" fontId="13" fillId="2" borderId="11" applyAlignment="1" pivotButton="0" quotePrefix="0" xfId="2">
      <alignment horizontal="center"/>
    </xf>
    <xf numFmtId="0" fontId="14" fillId="0" borderId="11" pivotButton="0" quotePrefix="0" xfId="0"/>
    <xf numFmtId="0" fontId="14" fillId="0" borderId="11" applyAlignment="1" pivotButton="0" quotePrefix="0" xfId="0">
      <alignment horizontal="center"/>
    </xf>
    <xf numFmtId="165" fontId="14" fillId="0" borderId="11" applyAlignment="1" pivotButton="0" quotePrefix="0" xfId="2">
      <alignment horizontal="center"/>
    </xf>
    <xf numFmtId="1" fontId="14" fillId="0" borderId="11" applyAlignment="1" pivotButton="0" quotePrefix="0" xfId="2">
      <alignment horizontal="center"/>
    </xf>
    <xf numFmtId="165" fontId="14" fillId="0" borderId="11" applyAlignment="1" pivotButton="0" quotePrefix="0" xfId="0">
      <alignment horizontal="center"/>
    </xf>
    <xf numFmtId="0" fontId="13" fillId="13" borderId="11" pivotButton="0" quotePrefix="0" xfId="0"/>
    <xf numFmtId="0" fontId="13" fillId="13" borderId="11" applyAlignment="1" pivotButton="0" quotePrefix="0" xfId="0">
      <alignment horizontal="center"/>
    </xf>
    <xf numFmtId="0" fontId="2" fillId="5" borderId="0" pivotButton="0" quotePrefix="0" xfId="0"/>
    <xf numFmtId="0" fontId="0" fillId="5" borderId="0" applyAlignment="1" pivotButton="0" quotePrefix="0" xfId="0">
      <alignment horizontal="center"/>
    </xf>
    <xf numFmtId="165" fontId="0" fillId="5" borderId="0" applyAlignment="1" pivotButton="0" quotePrefix="0" xfId="2">
      <alignment horizontal="center"/>
    </xf>
    <xf numFmtId="0" fontId="5" fillId="14" borderId="0" pivotButton="0" quotePrefix="0" xfId="0"/>
    <xf numFmtId="164" fontId="5" fillId="14" borderId="0" pivotButton="0" quotePrefix="0" xfId="0"/>
    <xf numFmtId="0" fontId="0" fillId="0" borderId="15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6" pivotButton="0" quotePrefix="0" xfId="0"/>
  </cellXfs>
  <cellStyles count="3">
    <cellStyle name="Normal" xfId="0" builtinId="0"/>
    <cellStyle name="Comma" xfId="1" builtinId="3"/>
    <cellStyle name="Percent" xfId="2" builtinId="5"/>
  </cellStyles>
  <dxfs count="60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165" formatCode="0.0%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V29"/>
  <sheetViews>
    <sheetView tabSelected="1" topLeftCell="A4" zoomScale="69" workbookViewId="0">
      <selection activeCell="U6" sqref="U6"/>
    </sheetView>
  </sheetViews>
  <sheetFormatPr baseColWidth="8" defaultRowHeight="14.5"/>
  <cols>
    <col width="28.81640625" customWidth="1" style="22" min="2" max="2"/>
    <col width="8.81640625" customWidth="1" style="22" min="3" max="20"/>
    <col outlineLevel="1" width="8.7265625" customWidth="1" style="22" min="21" max="21"/>
    <col width="10.26953125" customWidth="1" style="22" min="22" max="22"/>
  </cols>
  <sheetData>
    <row r="2" ht="21.5" customHeight="1" s="22">
      <c r="B2" s="66" t="inlineStr">
        <is>
          <t>Tracking Occupancy ODP New Golive 2026 - Greenfield</t>
        </is>
      </c>
      <c r="C2" s="67" t="n"/>
      <c r="D2" s="67" t="n"/>
      <c r="E2" s="67" t="n"/>
      <c r="F2" s="67" t="n"/>
      <c r="G2" s="67" t="n"/>
      <c r="H2" s="67" t="n"/>
      <c r="I2" s="67" t="n"/>
      <c r="J2" s="67" t="n"/>
      <c r="K2" s="67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8" t="n">
        <v>46223</v>
      </c>
    </row>
    <row r="3" ht="17" customHeight="1" s="22">
      <c r="B3" s="69" t="inlineStr">
        <is>
          <t>WOK</t>
        </is>
      </c>
      <c r="C3" s="70" t="inlineStr">
        <is>
          <t>Occupancy ODP Greenfield 2026</t>
        </is>
      </c>
    </row>
    <row r="4" ht="17" customHeight="1" s="22">
      <c r="B4" s="123" t="n"/>
      <c r="C4" s="76" t="inlineStr">
        <is>
          <t>1 Month (Target Occ 15%)</t>
        </is>
      </c>
      <c r="D4" s="124" t="n"/>
      <c r="E4" s="125" t="n"/>
      <c r="F4" s="76" t="inlineStr">
        <is>
          <t>2 Month (Target Occ 25%)</t>
        </is>
      </c>
      <c r="G4" s="124" t="n"/>
      <c r="H4" s="125" t="n"/>
      <c r="I4" s="76" t="inlineStr">
        <is>
          <t>3 Month (Target Occ 35%)</t>
        </is>
      </c>
      <c r="J4" s="124" t="n"/>
      <c r="K4" s="125" t="n"/>
      <c r="L4" s="76" t="inlineStr">
        <is>
          <t>4-6 Month (Target Occ 45%)</t>
        </is>
      </c>
      <c r="M4" s="124" t="n"/>
      <c r="N4" s="125" t="n"/>
      <c r="O4" s="76" t="inlineStr">
        <is>
          <t>&gt;6 Month (Target Occ 60%)</t>
        </is>
      </c>
      <c r="P4" s="124" t="n"/>
      <c r="Q4" s="125" t="n"/>
      <c r="R4" s="75" t="inlineStr">
        <is>
          <t>Total</t>
        </is>
      </c>
      <c r="S4" s="126" t="n"/>
      <c r="T4" s="127" t="n"/>
      <c r="U4" s="75" t="n"/>
      <c r="V4" s="75" t="n"/>
    </row>
    <row r="5" ht="17" customHeight="1" s="22">
      <c r="B5" s="128" t="n"/>
      <c r="C5" s="76" t="inlineStr">
        <is>
          <t>Port</t>
        </is>
      </c>
      <c r="D5" s="76" t="inlineStr">
        <is>
          <t>Used</t>
        </is>
      </c>
      <c r="E5" s="76" t="inlineStr">
        <is>
          <t>OCC</t>
        </is>
      </c>
      <c r="F5" s="76" t="inlineStr">
        <is>
          <t>Port</t>
        </is>
      </c>
      <c r="G5" s="76" t="inlineStr">
        <is>
          <t>Used</t>
        </is>
      </c>
      <c r="H5" s="76" t="inlineStr">
        <is>
          <t>OCC</t>
        </is>
      </c>
      <c r="I5" s="76" t="inlineStr">
        <is>
          <t>Port</t>
        </is>
      </c>
      <c r="J5" s="76" t="inlineStr">
        <is>
          <t>Used</t>
        </is>
      </c>
      <c r="K5" s="76" t="inlineStr">
        <is>
          <t>OCC</t>
        </is>
      </c>
      <c r="L5" s="76" t="inlineStr">
        <is>
          <t>Port</t>
        </is>
      </c>
      <c r="M5" s="76" t="inlineStr">
        <is>
          <t>Used</t>
        </is>
      </c>
      <c r="N5" s="76" t="inlineStr">
        <is>
          <t>OCC</t>
        </is>
      </c>
      <c r="O5" s="76" t="inlineStr">
        <is>
          <t>Port</t>
        </is>
      </c>
      <c r="P5" s="76" t="inlineStr">
        <is>
          <t>Used</t>
        </is>
      </c>
      <c r="Q5" s="77" t="inlineStr">
        <is>
          <t>OCC</t>
        </is>
      </c>
      <c r="R5" s="75" t="inlineStr">
        <is>
          <t>Port</t>
        </is>
      </c>
      <c r="S5" s="75" t="inlineStr">
        <is>
          <t>Used</t>
        </is>
      </c>
      <c r="T5" s="75" t="inlineStr">
        <is>
          <t>OCC</t>
        </is>
      </c>
      <c r="U5" s="75" t="inlineStr">
        <is>
          <t>OCC W-1</t>
        </is>
      </c>
      <c r="V5" s="75" t="inlineStr">
        <is>
          <t>Gap Wow</t>
        </is>
      </c>
    </row>
    <row r="6" ht="17" customHeight="1" s="22">
      <c r="B6" s="13" t="inlineStr">
        <is>
          <t>KEBUMEN</t>
        </is>
      </c>
      <c r="C6" s="78">
        <f>_xlfn.XLOOKUP($B6,'Pivot Occ'!$A$6:$A$21,'Pivot Occ'!B$6:B$21)</f>
        <v/>
      </c>
      <c r="D6" s="78">
        <f>_xlfn.XLOOKUP($B6,'Pivot Occ'!$A$6:$A$21,'Pivot Occ'!C$6:C$21)</f>
        <v/>
      </c>
      <c r="E6" s="79">
        <f>IFERROR(D6/C6,"-")</f>
        <v/>
      </c>
      <c r="F6" s="78">
        <f>_xlfn.XLOOKUP($B6,'Pivot Occ'!$A$6:$A$21,'Pivot Occ'!D$6:D$21)</f>
        <v/>
      </c>
      <c r="G6" s="78">
        <f>_xlfn.XLOOKUP($B6,'Pivot Occ'!$A$6:$A$21,'Pivot Occ'!E$6:E$21)</f>
        <v/>
      </c>
      <c r="H6" s="79">
        <f>IFERROR(G6/F6,"-")</f>
        <v/>
      </c>
      <c r="I6" s="78">
        <f>_xlfn.XLOOKUP($B6,'Pivot Occ'!$A$6:$A$21,'Pivot Occ'!F$6:F$21)</f>
        <v/>
      </c>
      <c r="J6" s="78">
        <f>_xlfn.XLOOKUP($B6,'Pivot Occ'!$A$6:$A$21,'Pivot Occ'!G$6:G$21)</f>
        <v/>
      </c>
      <c r="K6" s="79">
        <f>IFERROR(J6/I6,"-")</f>
        <v/>
      </c>
      <c r="L6" s="78">
        <f>_xlfn.XLOOKUP($B6,'Pivot Occ'!$A$6:$A$21,'Pivot Occ'!H$6:H$21)</f>
        <v/>
      </c>
      <c r="M6" s="78">
        <f>_xlfn.XLOOKUP($B6,'Pivot Occ'!$A$6:$A$21,'Pivot Occ'!I$6:I$21)</f>
        <v/>
      </c>
      <c r="N6" s="79">
        <f>IFERROR(M6/L6,0)</f>
        <v/>
      </c>
      <c r="O6" s="78">
        <f>_xlfn.XLOOKUP($B6,'Pivot Occ'!$A$6:$A$21,'Pivot Occ'!J$6:J$21)</f>
        <v/>
      </c>
      <c r="P6" s="78">
        <f>_xlfn.XLOOKUP($B6,'Pivot Occ'!$A$6:$A$21,'Pivot Occ'!K$6:K$21)</f>
        <v/>
      </c>
      <c r="Q6" s="80">
        <f>IFERROR(P6/O6,0)</f>
        <v/>
      </c>
      <c r="R6" s="81">
        <f>SUM(C6,F6,I6,L6,O6)</f>
        <v/>
      </c>
      <c r="S6" s="81">
        <f>SUM(D6,G6,J6,M6,P6)</f>
        <v/>
      </c>
      <c r="T6" s="82">
        <f>S6/R6</f>
        <v/>
      </c>
      <c r="U6" s="82" t="n">
        <v>0.1441666666666667</v>
      </c>
      <c r="V6" s="83">
        <f>T6-U6</f>
        <v/>
      </c>
    </row>
    <row r="7" ht="17" customHeight="1" s="22">
      <c r="B7" s="14" t="inlineStr">
        <is>
          <t>MAGELANG TEMANGGUNG</t>
        </is>
      </c>
      <c r="C7" s="84">
        <f>_xlfn.XLOOKUP($B7,'Pivot Occ'!$A$6:$A$21,'Pivot Occ'!B$6:B$21)</f>
        <v/>
      </c>
      <c r="D7" s="84">
        <f>_xlfn.XLOOKUP($B7,'Pivot Occ'!$A$6:$A$21,'Pivot Occ'!C$6:C$21)</f>
        <v/>
      </c>
      <c r="E7" s="79">
        <f>IFERROR(D7/C7,"-")</f>
        <v/>
      </c>
      <c r="F7" s="84">
        <f>_xlfn.XLOOKUP($B7,'Pivot Occ'!$A$6:$A$21,'Pivot Occ'!D$6:D$21)</f>
        <v/>
      </c>
      <c r="G7" s="84">
        <f>_xlfn.XLOOKUP($B7,'Pivot Occ'!$A$6:$A$21,'Pivot Occ'!E$6:E$21)</f>
        <v/>
      </c>
      <c r="H7" s="79">
        <f>IFERROR(G7/F7,"-")</f>
        <v/>
      </c>
      <c r="I7" s="84">
        <f>_xlfn.XLOOKUP($B7,'Pivot Occ'!$A$6:$A$21,'Pivot Occ'!F$6:F$21)</f>
        <v/>
      </c>
      <c r="J7" s="84">
        <f>_xlfn.XLOOKUP($B7,'Pivot Occ'!$A$6:$A$21,'Pivot Occ'!G$6:G$21)</f>
        <v/>
      </c>
      <c r="K7" s="79">
        <f>IFERROR(J7/I7,"-")</f>
        <v/>
      </c>
      <c r="L7" s="84">
        <f>_xlfn.XLOOKUP($B7,'Pivot Occ'!$A$6:$A$21,'Pivot Occ'!H$6:H$21)</f>
        <v/>
      </c>
      <c r="M7" s="84">
        <f>_xlfn.XLOOKUP($B7,'Pivot Occ'!$A$6:$A$21,'Pivot Occ'!I$6:I$21)</f>
        <v/>
      </c>
      <c r="N7" s="79">
        <f>IFERROR(M7/L7,0)</f>
        <v/>
      </c>
      <c r="O7" s="84">
        <f>_xlfn.XLOOKUP($B7,'Pivot Occ'!$A$6:$A$21,'Pivot Occ'!J$6:J$21)</f>
        <v/>
      </c>
      <c r="P7" s="84">
        <f>_xlfn.XLOOKUP($B7,'Pivot Occ'!$A$6:$A$21,'Pivot Occ'!K$6:K$21)</f>
        <v/>
      </c>
      <c r="Q7" s="80">
        <f>IFERROR(P7/O7,0)</f>
        <v/>
      </c>
      <c r="R7" s="85">
        <f>SUM(C7,F7,I7,L7,O7)</f>
        <v/>
      </c>
      <c r="S7" s="85">
        <f>SUM(D7,G7,J7,M7,P7)</f>
        <v/>
      </c>
      <c r="T7" s="86">
        <f>S7/R7</f>
        <v/>
      </c>
      <c r="U7" s="86" t="n">
        <v>0.1710526315789474</v>
      </c>
      <c r="V7" s="87">
        <f>T7-U7</f>
        <v/>
      </c>
    </row>
    <row r="8" ht="17" customHeight="1" s="22">
      <c r="B8" s="13" t="inlineStr">
        <is>
          <t>BATANG</t>
        </is>
      </c>
      <c r="C8" s="78">
        <f>_xlfn.XLOOKUP($B8,'Pivot Occ'!$A$6:$A$21,'Pivot Occ'!B$6:B$21)</f>
        <v/>
      </c>
      <c r="D8" s="78">
        <f>_xlfn.XLOOKUP($B8,'Pivot Occ'!$A$6:$A$21,'Pivot Occ'!C$6:C$21)</f>
        <v/>
      </c>
      <c r="E8" s="79">
        <f>IFERROR(D8/C8,"-")</f>
        <v/>
      </c>
      <c r="F8" s="78">
        <f>_xlfn.XLOOKUP($B8,'Pivot Occ'!$A$6:$A$21,'Pivot Occ'!D$6:D$21)</f>
        <v/>
      </c>
      <c r="G8" s="78">
        <f>_xlfn.XLOOKUP($B8,'Pivot Occ'!$A$6:$A$21,'Pivot Occ'!E$6:E$21)</f>
        <v/>
      </c>
      <c r="H8" s="79">
        <f>IFERROR(G8/F8,"-")</f>
        <v/>
      </c>
      <c r="I8" s="78">
        <f>_xlfn.XLOOKUP($B8,'Pivot Occ'!$A$6:$A$21,'Pivot Occ'!F$6:F$21)</f>
        <v/>
      </c>
      <c r="J8" s="78">
        <f>_xlfn.XLOOKUP($B8,'Pivot Occ'!$A$6:$A$21,'Pivot Occ'!G$6:G$21)</f>
        <v/>
      </c>
      <c r="K8" s="79">
        <f>IFERROR(J8/I8,"-")</f>
        <v/>
      </c>
      <c r="L8" s="78">
        <f>_xlfn.XLOOKUP($B8,'Pivot Occ'!$A$6:$A$21,'Pivot Occ'!H$6:H$21)</f>
        <v/>
      </c>
      <c r="M8" s="78">
        <f>_xlfn.XLOOKUP($B8,'Pivot Occ'!$A$6:$A$21,'Pivot Occ'!I$6:I$21)</f>
        <v/>
      </c>
      <c r="N8" s="79">
        <f>IFERROR(M8/L8,0)</f>
        <v/>
      </c>
      <c r="O8" s="78">
        <f>_xlfn.XLOOKUP($B8,'Pivot Occ'!$A$6:$A$21,'Pivot Occ'!J$6:J$21)</f>
        <v/>
      </c>
      <c r="P8" s="78">
        <f>_xlfn.XLOOKUP($B8,'Pivot Occ'!$A$6:$A$21,'Pivot Occ'!K$6:K$21)</f>
        <v/>
      </c>
      <c r="Q8" s="80">
        <f>IFERROR(P8/O8,0)</f>
        <v/>
      </c>
      <c r="R8" s="81">
        <f>SUM(C8,F8,I8,L8,O8)</f>
        <v/>
      </c>
      <c r="S8" s="81">
        <f>SUM(D8,G8,J8,M8,P8)</f>
        <v/>
      </c>
      <c r="T8" s="82">
        <f>S8/R8</f>
        <v/>
      </c>
      <c r="U8" s="82" t="n">
        <v>0.1219951923076923</v>
      </c>
      <c r="V8" s="83">
        <f>T8-U8</f>
        <v/>
      </c>
    </row>
    <row r="9" ht="17" customHeight="1" s="22">
      <c r="B9" s="14" t="inlineStr">
        <is>
          <t>PEMALANG PURBALINGGA</t>
        </is>
      </c>
      <c r="C9" s="84">
        <f>_xlfn.XLOOKUP($B9,'Pivot Occ'!$A$6:$A$21,'Pivot Occ'!B$6:B$21)</f>
        <v/>
      </c>
      <c r="D9" s="84">
        <f>_xlfn.XLOOKUP($B9,'Pivot Occ'!$A$6:$A$21,'Pivot Occ'!C$6:C$21)</f>
        <v/>
      </c>
      <c r="E9" s="79">
        <f>IFERROR(D9/C9,"-")</f>
        <v/>
      </c>
      <c r="F9" s="84">
        <f>_xlfn.XLOOKUP($B9,'Pivot Occ'!$A$6:$A$21,'Pivot Occ'!D$6:D$21)</f>
        <v/>
      </c>
      <c r="G9" s="84">
        <f>_xlfn.XLOOKUP($B9,'Pivot Occ'!$A$6:$A$21,'Pivot Occ'!E$6:E$21)</f>
        <v/>
      </c>
      <c r="H9" s="79">
        <f>IFERROR(G9/F9,"-")</f>
        <v/>
      </c>
      <c r="I9" s="84">
        <f>_xlfn.XLOOKUP($B9,'Pivot Occ'!$A$6:$A$21,'Pivot Occ'!F$6:F$21)</f>
        <v/>
      </c>
      <c r="J9" s="84">
        <f>_xlfn.XLOOKUP($B9,'Pivot Occ'!$A$6:$A$21,'Pivot Occ'!G$6:G$21)</f>
        <v/>
      </c>
      <c r="K9" s="79">
        <f>IFERROR(J9/I9,"-")</f>
        <v/>
      </c>
      <c r="L9" s="84">
        <f>_xlfn.XLOOKUP($B9,'Pivot Occ'!$A$6:$A$21,'Pivot Occ'!H$6:H$21)</f>
        <v/>
      </c>
      <c r="M9" s="84">
        <f>_xlfn.XLOOKUP($B9,'Pivot Occ'!$A$6:$A$21,'Pivot Occ'!I$6:I$21)</f>
        <v/>
      </c>
      <c r="N9" s="79">
        <f>IFERROR(M9/L9,0)</f>
        <v/>
      </c>
      <c r="O9" s="84">
        <f>_xlfn.XLOOKUP($B9,'Pivot Occ'!$A$6:$A$21,'Pivot Occ'!J$6:J$21)</f>
        <v/>
      </c>
      <c r="P9" s="84">
        <f>_xlfn.XLOOKUP($B9,'Pivot Occ'!$A$6:$A$21,'Pivot Occ'!K$6:K$21)</f>
        <v/>
      </c>
      <c r="Q9" s="80">
        <f>IFERROR(P9/O9,0)</f>
        <v/>
      </c>
      <c r="R9" s="85">
        <f>SUM(C9,F9,I9,L9,O9)</f>
        <v/>
      </c>
      <c r="S9" s="85">
        <f>SUM(D9,G9,J9,M9,P9)</f>
        <v/>
      </c>
      <c r="T9" s="86">
        <f>S9/R9</f>
        <v/>
      </c>
      <c r="U9" s="86" t="n">
        <v>0.1188271604938272</v>
      </c>
      <c r="V9" s="87">
        <f>T9-U9</f>
        <v/>
      </c>
    </row>
    <row r="10" ht="17" customHeight="1" s="22">
      <c r="B10" s="13" t="inlineStr">
        <is>
          <t>TEGAL BREBES</t>
        </is>
      </c>
      <c r="C10" s="78">
        <f>_xlfn.XLOOKUP($B10,'Pivot Occ'!$A$6:$A$21,'Pivot Occ'!B$6:B$21)</f>
        <v/>
      </c>
      <c r="D10" s="78">
        <f>_xlfn.XLOOKUP($B10,'Pivot Occ'!$A$6:$A$21,'Pivot Occ'!C$6:C$21)</f>
        <v/>
      </c>
      <c r="E10" s="79">
        <f>IFERROR(D10/C10,"-")</f>
        <v/>
      </c>
      <c r="F10" s="78">
        <f>_xlfn.XLOOKUP($B10,'Pivot Occ'!$A$6:$A$21,'Pivot Occ'!D$6:D$21)</f>
        <v/>
      </c>
      <c r="G10" s="78">
        <f>_xlfn.XLOOKUP($B10,'Pivot Occ'!$A$6:$A$21,'Pivot Occ'!E$6:E$21)</f>
        <v/>
      </c>
      <c r="H10" s="79">
        <f>IFERROR(G10/F10,"-")</f>
        <v/>
      </c>
      <c r="I10" s="78">
        <f>_xlfn.XLOOKUP($B10,'Pivot Occ'!$A$6:$A$21,'Pivot Occ'!F$6:F$21)</f>
        <v/>
      </c>
      <c r="J10" s="78">
        <f>_xlfn.XLOOKUP($B10,'Pivot Occ'!$A$6:$A$21,'Pivot Occ'!G$6:G$21)</f>
        <v/>
      </c>
      <c r="K10" s="79">
        <f>IFERROR(J10/I10,"-")</f>
        <v/>
      </c>
      <c r="L10" s="78">
        <f>_xlfn.XLOOKUP($B10,'Pivot Occ'!$A$6:$A$21,'Pivot Occ'!H$6:H$21)</f>
        <v/>
      </c>
      <c r="M10" s="78">
        <f>_xlfn.XLOOKUP($B10,'Pivot Occ'!$A$6:$A$21,'Pivot Occ'!I$6:I$21)</f>
        <v/>
      </c>
      <c r="N10" s="79">
        <f>IFERROR(M10/L10,0)</f>
        <v/>
      </c>
      <c r="O10" s="78">
        <f>_xlfn.XLOOKUP($B10,'Pivot Occ'!$A$6:$A$21,'Pivot Occ'!J$6:J$21)</f>
        <v/>
      </c>
      <c r="P10" s="78">
        <f>_xlfn.XLOOKUP($B10,'Pivot Occ'!$A$6:$A$21,'Pivot Occ'!K$6:K$21)</f>
        <v/>
      </c>
      <c r="Q10" s="80">
        <f>IFERROR(P10/O10,0)</f>
        <v/>
      </c>
      <c r="R10" s="81">
        <f>SUM(C10,F10,I10,L10,O10)</f>
        <v/>
      </c>
      <c r="S10" s="81">
        <f>SUM(D10,G10,J10,M10,P10)</f>
        <v/>
      </c>
      <c r="T10" s="86">
        <f>S10/R10</f>
        <v/>
      </c>
      <c r="U10" s="86" t="n">
        <v>0.09113300492610837</v>
      </c>
      <c r="V10" s="87">
        <f>T10-U10</f>
        <v/>
      </c>
    </row>
    <row r="11" ht="17" customHeight="1" s="22">
      <c r="B11" s="14" t="inlineStr">
        <is>
          <t>CILACAP BANYUMAS</t>
        </is>
      </c>
      <c r="C11" s="84">
        <f>_xlfn.XLOOKUP($B11,'Pivot Occ'!$A$6:$A$21,'Pivot Occ'!B$6:B$21)</f>
        <v/>
      </c>
      <c r="D11" s="84">
        <f>_xlfn.XLOOKUP($B11,'Pivot Occ'!$A$6:$A$21,'Pivot Occ'!C$6:C$21)</f>
        <v/>
      </c>
      <c r="E11" s="79">
        <f>IFERROR(D11/C11,"-")</f>
        <v/>
      </c>
      <c r="F11" s="84">
        <f>_xlfn.XLOOKUP($B11,'Pivot Occ'!$A$6:$A$21,'Pivot Occ'!D$6:D$21)</f>
        <v/>
      </c>
      <c r="G11" s="84">
        <f>_xlfn.XLOOKUP($B11,'Pivot Occ'!$A$6:$A$21,'Pivot Occ'!E$6:E$21)</f>
        <v/>
      </c>
      <c r="H11" s="79">
        <f>IFERROR(G11/F11,"-")</f>
        <v/>
      </c>
      <c r="I11" s="84">
        <f>_xlfn.XLOOKUP($B11,'Pivot Occ'!$A$6:$A$21,'Pivot Occ'!F$6:F$21)</f>
        <v/>
      </c>
      <c r="J11" s="84">
        <f>_xlfn.XLOOKUP($B11,'Pivot Occ'!$A$6:$A$21,'Pivot Occ'!G$6:G$21)</f>
        <v/>
      </c>
      <c r="K11" s="79">
        <f>IFERROR(J11/I11,"-")</f>
        <v/>
      </c>
      <c r="L11" s="84">
        <f>_xlfn.XLOOKUP($B11,'Pivot Occ'!$A$6:$A$21,'Pivot Occ'!H$6:H$21)</f>
        <v/>
      </c>
      <c r="M11" s="84">
        <f>_xlfn.XLOOKUP($B11,'Pivot Occ'!$A$6:$A$21,'Pivot Occ'!I$6:I$21)</f>
        <v/>
      </c>
      <c r="N11" s="79">
        <f>IFERROR(M11/L11,0)</f>
        <v/>
      </c>
      <c r="O11" s="84">
        <f>_xlfn.XLOOKUP($B11,'Pivot Occ'!$A$6:$A$21,'Pivot Occ'!J$6:J$21)</f>
        <v/>
      </c>
      <c r="P11" s="84">
        <f>_xlfn.XLOOKUP($B11,'Pivot Occ'!$A$6:$A$21,'Pivot Occ'!K$6:K$21)</f>
        <v/>
      </c>
      <c r="Q11" s="80">
        <f>IFERROR(P11/O11,0)</f>
        <v/>
      </c>
      <c r="R11" s="85">
        <f>SUM(C11,F11,I11,L11,O11)</f>
        <v/>
      </c>
      <c r="S11" s="85">
        <f>SUM(D11,G11,J11,M11,P11)</f>
        <v/>
      </c>
      <c r="T11" s="86">
        <f>S11/R11</f>
        <v/>
      </c>
      <c r="U11" s="86" t="n">
        <v>0.1496212121212121</v>
      </c>
      <c r="V11" s="87">
        <f>T11-U11</f>
        <v/>
      </c>
    </row>
    <row r="12" ht="17" customHeight="1" s="22">
      <c r="B12" s="13" t="inlineStr">
        <is>
          <t>WONOSOBO BANJARNEGARA</t>
        </is>
      </c>
      <c r="C12" s="78">
        <f>_xlfn.XLOOKUP($B12,'Pivot Occ'!$A$6:$A$21,'Pivot Occ'!B$6:B$21)</f>
        <v/>
      </c>
      <c r="D12" s="78">
        <f>_xlfn.XLOOKUP($B12,'Pivot Occ'!$A$6:$A$21,'Pivot Occ'!C$6:C$21)</f>
        <v/>
      </c>
      <c r="E12" s="79">
        <f>IFERROR(D12/C12,"-")</f>
        <v/>
      </c>
      <c r="F12" s="78">
        <f>_xlfn.XLOOKUP($B12,'Pivot Occ'!$A$6:$A$21,'Pivot Occ'!D$6:D$21)</f>
        <v/>
      </c>
      <c r="G12" s="78">
        <f>_xlfn.XLOOKUP($B12,'Pivot Occ'!$A$6:$A$21,'Pivot Occ'!E$6:E$21)</f>
        <v/>
      </c>
      <c r="H12" s="79">
        <f>IFERROR(G12/F12,"-")</f>
        <v/>
      </c>
      <c r="I12" s="78">
        <f>_xlfn.XLOOKUP($B12,'Pivot Occ'!$A$6:$A$21,'Pivot Occ'!F$6:F$21)</f>
        <v/>
      </c>
      <c r="J12" s="78">
        <f>_xlfn.XLOOKUP($B12,'Pivot Occ'!$A$6:$A$21,'Pivot Occ'!G$6:G$21)</f>
        <v/>
      </c>
      <c r="K12" s="79">
        <f>IFERROR(J12/I12,"-")</f>
        <v/>
      </c>
      <c r="L12" s="78">
        <f>_xlfn.XLOOKUP($B12,'Pivot Occ'!$A$6:$A$21,'Pivot Occ'!H$6:H$21)</f>
        <v/>
      </c>
      <c r="M12" s="78">
        <f>_xlfn.XLOOKUP($B12,'Pivot Occ'!$A$6:$A$21,'Pivot Occ'!I$6:I$21)</f>
        <v/>
      </c>
      <c r="N12" s="79">
        <f>IFERROR(M12/L12,0)</f>
        <v/>
      </c>
      <c r="O12" s="78">
        <f>_xlfn.XLOOKUP($B12,'Pivot Occ'!$A$6:$A$21,'Pivot Occ'!J$6:J$21)</f>
        <v/>
      </c>
      <c r="P12" s="78">
        <f>_xlfn.XLOOKUP($B12,'Pivot Occ'!$A$6:$A$21,'Pivot Occ'!K$6:K$21)</f>
        <v/>
      </c>
      <c r="Q12" s="80">
        <f>IFERROR(P12/O12,0)</f>
        <v/>
      </c>
      <c r="R12" s="81">
        <f>SUM(C12,F12,I12,L12,O12)</f>
        <v/>
      </c>
      <c r="S12" s="81">
        <f>SUM(D12,G12,J12,M12,P12)</f>
        <v/>
      </c>
      <c r="T12" s="82">
        <f>S12/R12</f>
        <v/>
      </c>
      <c r="U12" s="82" t="n">
        <v>0.06885026737967914</v>
      </c>
      <c r="V12" s="83">
        <f>T12-U12</f>
        <v/>
      </c>
    </row>
    <row r="13" ht="17" customHeight="1" s="22">
      <c r="B13" s="14" t="inlineStr">
        <is>
          <t>DEMAK</t>
        </is>
      </c>
      <c r="C13" s="84">
        <f>_xlfn.XLOOKUP($B13,'Pivot Occ'!$A$6:$A$21,'Pivot Occ'!B$6:B$21)</f>
        <v/>
      </c>
      <c r="D13" s="84">
        <f>_xlfn.XLOOKUP($B13,'Pivot Occ'!$A$6:$A$21,'Pivot Occ'!C$6:C$21)</f>
        <v/>
      </c>
      <c r="E13" s="79">
        <f>IFERROR(D13/C13,"-")</f>
        <v/>
      </c>
      <c r="F13" s="84">
        <f>_xlfn.XLOOKUP($B13,'Pivot Occ'!$A$6:$A$21,'Pivot Occ'!D$6:D$21)</f>
        <v/>
      </c>
      <c r="G13" s="84">
        <f>_xlfn.XLOOKUP($B13,'Pivot Occ'!$A$6:$A$21,'Pivot Occ'!E$6:E$21)</f>
        <v/>
      </c>
      <c r="H13" s="79">
        <f>IFERROR(G13/F13,"-")</f>
        <v/>
      </c>
      <c r="I13" s="84">
        <f>_xlfn.XLOOKUP($B13,'Pivot Occ'!$A$6:$A$21,'Pivot Occ'!F$6:F$21)</f>
        <v/>
      </c>
      <c r="J13" s="84">
        <f>_xlfn.XLOOKUP($B13,'Pivot Occ'!$A$6:$A$21,'Pivot Occ'!G$6:G$21)</f>
        <v/>
      </c>
      <c r="K13" s="79">
        <f>IFERROR(J13/I13,"-")</f>
        <v/>
      </c>
      <c r="L13" s="84">
        <f>_xlfn.XLOOKUP($B13,'Pivot Occ'!$A$6:$A$21,'Pivot Occ'!H$6:H$21)</f>
        <v/>
      </c>
      <c r="M13" s="84">
        <f>_xlfn.XLOOKUP($B13,'Pivot Occ'!$A$6:$A$21,'Pivot Occ'!I$6:I$21)</f>
        <v/>
      </c>
      <c r="N13" s="79">
        <f>IFERROR(M13/L13,0)</f>
        <v/>
      </c>
      <c r="O13" s="84">
        <f>_xlfn.XLOOKUP($B13,'Pivot Occ'!$A$6:$A$21,'Pivot Occ'!J$6:J$21)</f>
        <v/>
      </c>
      <c r="P13" s="84">
        <f>_xlfn.XLOOKUP($B13,'Pivot Occ'!$A$6:$A$21,'Pivot Occ'!K$6:K$21)</f>
        <v/>
      </c>
      <c r="Q13" s="80">
        <f>IFERROR(P13/O13,0)</f>
        <v/>
      </c>
      <c r="R13" s="85">
        <f>SUM(C13,F13,I13,L13,O13)</f>
        <v/>
      </c>
      <c r="S13" s="85">
        <f>SUM(D13,G13,J13,M13,P13)</f>
        <v/>
      </c>
      <c r="T13" s="86">
        <f>S13/R13</f>
        <v/>
      </c>
      <c r="U13" s="86" t="n">
        <v>0.1096774193548387</v>
      </c>
      <c r="V13" s="87">
        <f>T13-U13</f>
        <v/>
      </c>
    </row>
    <row r="14" ht="17" customHeight="1" s="22">
      <c r="B14" s="13" t="inlineStr">
        <is>
          <t>JEPARA KUDUS - PATI</t>
        </is>
      </c>
      <c r="C14" s="78">
        <f>_xlfn.XLOOKUP($B14,'Pivot Occ'!$A$6:$A$21,'Pivot Occ'!B$6:B$21)</f>
        <v/>
      </c>
      <c r="D14" s="78">
        <f>_xlfn.XLOOKUP($B14,'Pivot Occ'!$A$6:$A$21,'Pivot Occ'!C$6:C$21)</f>
        <v/>
      </c>
      <c r="E14" s="79">
        <f>IFERROR(D14/C14,"-")</f>
        <v/>
      </c>
      <c r="F14" s="78">
        <f>_xlfn.XLOOKUP($B14,'Pivot Occ'!$A$6:$A$21,'Pivot Occ'!D$6:D$21)</f>
        <v/>
      </c>
      <c r="G14" s="78">
        <f>_xlfn.XLOOKUP($B14,'Pivot Occ'!$A$6:$A$21,'Pivot Occ'!E$6:E$21)</f>
        <v/>
      </c>
      <c r="H14" s="79">
        <f>IFERROR(G14/F14,"-")</f>
        <v/>
      </c>
      <c r="I14" s="78">
        <f>_xlfn.XLOOKUP($B14,'Pivot Occ'!$A$6:$A$21,'Pivot Occ'!F$6:F$21)</f>
        <v/>
      </c>
      <c r="J14" s="78">
        <f>_xlfn.XLOOKUP($B14,'Pivot Occ'!$A$6:$A$21,'Pivot Occ'!G$6:G$21)</f>
        <v/>
      </c>
      <c r="K14" s="79">
        <f>IFERROR(J14/I14,"-")</f>
        <v/>
      </c>
      <c r="L14" s="78">
        <f>_xlfn.XLOOKUP($B14,'Pivot Occ'!$A$6:$A$21,'Pivot Occ'!H$6:H$21)</f>
        <v/>
      </c>
      <c r="M14" s="78">
        <f>_xlfn.XLOOKUP($B14,'Pivot Occ'!$A$6:$A$21,'Pivot Occ'!I$6:I$21)</f>
        <v/>
      </c>
      <c r="N14" s="79">
        <f>IFERROR(M14/L14,0)</f>
        <v/>
      </c>
      <c r="O14" s="78">
        <f>_xlfn.XLOOKUP($B14,'Pivot Occ'!$A$6:$A$21,'Pivot Occ'!J$6:J$21)</f>
        <v/>
      </c>
      <c r="P14" s="78">
        <f>_xlfn.XLOOKUP($B14,'Pivot Occ'!$A$6:$A$21,'Pivot Occ'!K$6:K$21)</f>
        <v/>
      </c>
      <c r="Q14" s="80">
        <f>IFERROR(P14/O14,0)</f>
        <v/>
      </c>
      <c r="R14" s="81">
        <f>SUM(C14,F14,I14,L14,O14)</f>
        <v/>
      </c>
      <c r="S14" s="81">
        <f>SUM(D14,G14,J14,M14,P14)</f>
        <v/>
      </c>
      <c r="T14" s="82">
        <f>S14/R14</f>
        <v/>
      </c>
      <c r="U14" s="82" t="n">
        <v>0.07261029411764706</v>
      </c>
      <c r="V14" s="83">
        <f>T14-U14</f>
        <v/>
      </c>
    </row>
    <row r="15" ht="17" customHeight="1" s="22">
      <c r="B15" s="14" t="inlineStr">
        <is>
          <t>SEMARANG 1</t>
        </is>
      </c>
      <c r="C15" s="84">
        <f>_xlfn.XLOOKUP($B15,'Pivot Occ'!$A$6:$A$21,'Pivot Occ'!B$6:B$21)</f>
        <v/>
      </c>
      <c r="D15" s="84">
        <f>_xlfn.XLOOKUP($B15,'Pivot Occ'!$A$6:$A$21,'Pivot Occ'!C$6:C$21)</f>
        <v/>
      </c>
      <c r="E15" s="79">
        <f>IFERROR(D15/C15,"-")</f>
        <v/>
      </c>
      <c r="F15" s="84">
        <f>_xlfn.XLOOKUP($B15,'Pivot Occ'!$A$6:$A$21,'Pivot Occ'!D$6:D$21)</f>
        <v/>
      </c>
      <c r="G15" s="84">
        <f>_xlfn.XLOOKUP($B15,'Pivot Occ'!$A$6:$A$21,'Pivot Occ'!E$6:E$21)</f>
        <v/>
      </c>
      <c r="H15" s="79">
        <f>IFERROR(G15/F15,"-")</f>
        <v/>
      </c>
      <c r="I15" s="84">
        <f>_xlfn.XLOOKUP($B15,'Pivot Occ'!$A$6:$A$21,'Pivot Occ'!F$6:F$21)</f>
        <v/>
      </c>
      <c r="J15" s="84">
        <f>_xlfn.XLOOKUP($B15,'Pivot Occ'!$A$6:$A$21,'Pivot Occ'!G$6:G$21)</f>
        <v/>
      </c>
      <c r="K15" s="79">
        <f>IFERROR(J15/I15,"-")</f>
        <v/>
      </c>
      <c r="L15" s="84">
        <f>_xlfn.XLOOKUP($B15,'Pivot Occ'!$A$6:$A$21,'Pivot Occ'!H$6:H$21)</f>
        <v/>
      </c>
      <c r="M15" s="84">
        <f>_xlfn.XLOOKUP($B15,'Pivot Occ'!$A$6:$A$21,'Pivot Occ'!I$6:I$21)</f>
        <v/>
      </c>
      <c r="N15" s="79">
        <f>IFERROR(M15/L15,0)</f>
        <v/>
      </c>
      <c r="O15" s="84">
        <f>_xlfn.XLOOKUP($B15,'Pivot Occ'!$A$6:$A$21,'Pivot Occ'!J$6:J$21)</f>
        <v/>
      </c>
      <c r="P15" s="84">
        <f>_xlfn.XLOOKUP($B15,'Pivot Occ'!$A$6:$A$21,'Pivot Occ'!K$6:K$21)</f>
        <v/>
      </c>
      <c r="Q15" s="80">
        <f>IFERROR(P15/O15,0)</f>
        <v/>
      </c>
      <c r="R15" s="85">
        <f>SUM(C15,F15,I15,L15,O15)</f>
        <v/>
      </c>
      <c r="S15" s="85">
        <f>SUM(D15,G15,J15,M15,P15)</f>
        <v/>
      </c>
      <c r="T15" s="86">
        <f>S15/R15</f>
        <v/>
      </c>
      <c r="U15" s="86" t="n">
        <v>0.0456989247311828</v>
      </c>
      <c r="V15" s="87">
        <f>T15-U15</f>
        <v/>
      </c>
    </row>
    <row r="16" ht="17" customHeight="1" s="22">
      <c r="B16" s="13" t="inlineStr">
        <is>
          <t>SEMARANG 2</t>
        </is>
      </c>
      <c r="C16" s="78">
        <f>_xlfn.XLOOKUP($B16,'Pivot Occ'!$A$6:$A$21,'Pivot Occ'!B$6:B$21)</f>
        <v/>
      </c>
      <c r="D16" s="78">
        <f>_xlfn.XLOOKUP($B16,'Pivot Occ'!$A$6:$A$21,'Pivot Occ'!C$6:C$21)</f>
        <v/>
      </c>
      <c r="E16" s="79">
        <f>IFERROR(D16/C16,"-")</f>
        <v/>
      </c>
      <c r="F16" s="78">
        <f>_xlfn.XLOOKUP($B16,'Pivot Occ'!$A$6:$A$21,'Pivot Occ'!D$6:D$21)</f>
        <v/>
      </c>
      <c r="G16" s="78">
        <f>_xlfn.XLOOKUP($B16,'Pivot Occ'!$A$6:$A$21,'Pivot Occ'!E$6:E$21)</f>
        <v/>
      </c>
      <c r="H16" s="79">
        <f>IFERROR(G16/F16,"-")</f>
        <v/>
      </c>
      <c r="I16" s="78">
        <f>_xlfn.XLOOKUP($B16,'Pivot Occ'!$A$6:$A$21,'Pivot Occ'!F$6:F$21)</f>
        <v/>
      </c>
      <c r="J16" s="78">
        <f>_xlfn.XLOOKUP($B16,'Pivot Occ'!$A$6:$A$21,'Pivot Occ'!G$6:G$21)</f>
        <v/>
      </c>
      <c r="K16" s="79">
        <f>IFERROR(J16/I16,"-")</f>
        <v/>
      </c>
      <c r="L16" s="78">
        <f>_xlfn.XLOOKUP($B16,'Pivot Occ'!$A$6:$A$21,'Pivot Occ'!H$6:H$21)</f>
        <v/>
      </c>
      <c r="M16" s="78">
        <f>_xlfn.XLOOKUP($B16,'Pivot Occ'!$A$6:$A$21,'Pivot Occ'!I$6:I$21)</f>
        <v/>
      </c>
      <c r="N16" s="79">
        <f>IFERROR(M16/L16,0)</f>
        <v/>
      </c>
      <c r="O16" s="78">
        <f>_xlfn.XLOOKUP($B16,'Pivot Occ'!$A$6:$A$21,'Pivot Occ'!J$6:J$21)</f>
        <v/>
      </c>
      <c r="P16" s="78">
        <f>_xlfn.XLOOKUP($B16,'Pivot Occ'!$A$6:$A$21,'Pivot Occ'!K$6:K$21)</f>
        <v/>
      </c>
      <c r="Q16" s="80">
        <f>IFERROR(P16/O16,0)</f>
        <v/>
      </c>
      <c r="R16" s="81">
        <f>SUM(C16,F16,I16,L16,O16)</f>
        <v/>
      </c>
      <c r="S16" s="81">
        <f>SUM(D16,G16,J16,M16,P16)</f>
        <v/>
      </c>
      <c r="T16" s="82">
        <f>S16/R16</f>
        <v/>
      </c>
      <c r="U16" s="82" t="n">
        <v>0.0625</v>
      </c>
      <c r="V16" s="83">
        <f>T16-U16</f>
        <v/>
      </c>
    </row>
    <row r="17" ht="17" customHeight="1" s="22">
      <c r="B17" s="14" t="inlineStr">
        <is>
          <t>BOYOLALI</t>
        </is>
      </c>
      <c r="C17" s="84">
        <f>_xlfn.XLOOKUP($B17,'Pivot Occ'!$A$6:$A$21,'Pivot Occ'!B$6:B$21)</f>
        <v/>
      </c>
      <c r="D17" s="84">
        <f>_xlfn.XLOOKUP($B17,'Pivot Occ'!$A$6:$A$21,'Pivot Occ'!C$6:C$21)</f>
        <v/>
      </c>
      <c r="E17" s="79">
        <f>IFERROR(D17/C17,"-")</f>
        <v/>
      </c>
      <c r="F17" s="84">
        <f>_xlfn.XLOOKUP($B17,'Pivot Occ'!$A$6:$A$21,'Pivot Occ'!D$6:D$21)</f>
        <v/>
      </c>
      <c r="G17" s="84">
        <f>_xlfn.XLOOKUP($B17,'Pivot Occ'!$A$6:$A$21,'Pivot Occ'!E$6:E$21)</f>
        <v/>
      </c>
      <c r="H17" s="79">
        <f>IFERROR(G17/F17,"-")</f>
        <v/>
      </c>
      <c r="I17" s="84">
        <f>_xlfn.XLOOKUP($B17,'Pivot Occ'!$A$6:$A$21,'Pivot Occ'!F$6:F$21)</f>
        <v/>
      </c>
      <c r="J17" s="84">
        <f>_xlfn.XLOOKUP($B17,'Pivot Occ'!$A$6:$A$21,'Pivot Occ'!G$6:G$21)</f>
        <v/>
      </c>
      <c r="K17" s="79">
        <f>IFERROR(J17/I17,"-")</f>
        <v/>
      </c>
      <c r="L17" s="84">
        <f>_xlfn.XLOOKUP($B17,'Pivot Occ'!$A$6:$A$21,'Pivot Occ'!H$6:H$21)</f>
        <v/>
      </c>
      <c r="M17" s="84">
        <f>_xlfn.XLOOKUP($B17,'Pivot Occ'!$A$6:$A$21,'Pivot Occ'!I$6:I$21)</f>
        <v/>
      </c>
      <c r="N17" s="79">
        <f>IFERROR(M17/L17,0)</f>
        <v/>
      </c>
      <c r="O17" s="84">
        <f>_xlfn.XLOOKUP($B17,'Pivot Occ'!$A$6:$A$21,'Pivot Occ'!J$6:J$21)</f>
        <v/>
      </c>
      <c r="P17" s="84">
        <f>_xlfn.XLOOKUP($B17,'Pivot Occ'!$A$6:$A$21,'Pivot Occ'!K$6:K$21)</f>
        <v/>
      </c>
      <c r="Q17" s="80">
        <f>IFERROR(P17/O17,0)</f>
        <v/>
      </c>
      <c r="R17" s="85">
        <f>SUM(C17,F17,I17,L17,O17)</f>
        <v/>
      </c>
      <c r="S17" s="85">
        <f>SUM(D17,G17,J17,M17,P17)</f>
        <v/>
      </c>
      <c r="T17" s="86">
        <f>S17/R17</f>
        <v/>
      </c>
      <c r="U17" s="86" t="n">
        <v>0.3153846153846154</v>
      </c>
      <c r="V17" s="87">
        <f>T17-U17</f>
        <v/>
      </c>
    </row>
    <row r="18" ht="17" customHeight="1" s="22">
      <c r="B18" s="13" t="inlineStr">
        <is>
          <t>SRAGEN</t>
        </is>
      </c>
      <c r="C18" s="78">
        <f>_xlfn.XLOOKUP($B18,'Pivot Occ'!$A$6:$A$21,'Pivot Occ'!B$6:B$21)</f>
        <v/>
      </c>
      <c r="D18" s="78">
        <f>_xlfn.XLOOKUP($B18,'Pivot Occ'!$A$6:$A$21,'Pivot Occ'!C$6:C$21)</f>
        <v/>
      </c>
      <c r="E18" s="79">
        <f>IFERROR(D18/C18,"-")</f>
        <v/>
      </c>
      <c r="F18" s="78">
        <f>_xlfn.XLOOKUP($B18,'Pivot Occ'!$A$6:$A$21,'Pivot Occ'!D$6:D$21)</f>
        <v/>
      </c>
      <c r="G18" s="78">
        <f>_xlfn.XLOOKUP($B18,'Pivot Occ'!$A$6:$A$21,'Pivot Occ'!E$6:E$21)</f>
        <v/>
      </c>
      <c r="H18" s="79">
        <f>IFERROR(G18/F18,"-")</f>
        <v/>
      </c>
      <c r="I18" s="78">
        <f>_xlfn.XLOOKUP($B18,'Pivot Occ'!$A$6:$A$21,'Pivot Occ'!F$6:F$21)</f>
        <v/>
      </c>
      <c r="J18" s="78">
        <f>_xlfn.XLOOKUP($B18,'Pivot Occ'!$A$6:$A$21,'Pivot Occ'!G$6:G$21)</f>
        <v/>
      </c>
      <c r="K18" s="79">
        <f>IFERROR(J18/I18,"-")</f>
        <v/>
      </c>
      <c r="L18" s="78">
        <f>_xlfn.XLOOKUP($B18,'Pivot Occ'!$A$6:$A$21,'Pivot Occ'!H$6:H$21)</f>
        <v/>
      </c>
      <c r="M18" s="78">
        <f>_xlfn.XLOOKUP($B18,'Pivot Occ'!$A$6:$A$21,'Pivot Occ'!I$6:I$21)</f>
        <v/>
      </c>
      <c r="N18" s="79">
        <f>IFERROR(M18/L18,0)</f>
        <v/>
      </c>
      <c r="O18" s="78">
        <f>_xlfn.XLOOKUP($B18,'Pivot Occ'!$A$6:$A$21,'Pivot Occ'!J$6:J$21)</f>
        <v/>
      </c>
      <c r="P18" s="78">
        <f>_xlfn.XLOOKUP($B18,'Pivot Occ'!$A$6:$A$21,'Pivot Occ'!K$6:K$21)</f>
        <v/>
      </c>
      <c r="Q18" s="80">
        <f>IFERROR(P18/O18,0)</f>
        <v/>
      </c>
      <c r="R18" s="81">
        <f>SUM(C18,F18,I18,L18,O18)</f>
        <v/>
      </c>
      <c r="S18" s="81">
        <f>SUM(D18,G18,J18,M18,P18)</f>
        <v/>
      </c>
      <c r="T18" s="82">
        <f>S18/R18</f>
        <v/>
      </c>
      <c r="U18" s="82" t="n">
        <v>0.01973684210526316</v>
      </c>
      <c r="V18" s="83">
        <f>T18-U18</f>
        <v/>
      </c>
    </row>
    <row r="19" ht="17" customHeight="1" s="22">
      <c r="B19" s="14" t="inlineStr">
        <is>
          <t>SURAKARTA</t>
        </is>
      </c>
      <c r="C19" s="84">
        <f>_xlfn.XLOOKUP($B19,'Pivot Occ'!$A$6:$A$21,'Pivot Occ'!B$6:B$21)</f>
        <v/>
      </c>
      <c r="D19" s="84">
        <f>_xlfn.XLOOKUP($B19,'Pivot Occ'!$A$6:$A$21,'Pivot Occ'!C$6:C$21)</f>
        <v/>
      </c>
      <c r="E19" s="79">
        <f>IFERROR(D19/C19,"-")</f>
        <v/>
      </c>
      <c r="F19" s="84">
        <f>_xlfn.XLOOKUP($B19,'Pivot Occ'!$A$6:$A$21,'Pivot Occ'!D$6:D$21)</f>
        <v/>
      </c>
      <c r="G19" s="84">
        <f>_xlfn.XLOOKUP($B19,'Pivot Occ'!$A$6:$A$21,'Pivot Occ'!E$6:E$21)</f>
        <v/>
      </c>
      <c r="H19" s="79">
        <f>IFERROR(G19/F19,"-")</f>
        <v/>
      </c>
      <c r="I19" s="84">
        <f>_xlfn.XLOOKUP($B19,'Pivot Occ'!$A$6:$A$21,'Pivot Occ'!F$6:F$21)</f>
        <v/>
      </c>
      <c r="J19" s="84">
        <f>_xlfn.XLOOKUP($B19,'Pivot Occ'!$A$6:$A$21,'Pivot Occ'!G$6:G$21)</f>
        <v/>
      </c>
      <c r="K19" s="79">
        <f>IFERROR(J19/I19,"-")</f>
        <v/>
      </c>
      <c r="L19" s="84">
        <f>_xlfn.XLOOKUP($B19,'Pivot Occ'!$A$6:$A$21,'Pivot Occ'!H$6:H$21)</f>
        <v/>
      </c>
      <c r="M19" s="84">
        <f>_xlfn.XLOOKUP($B19,'Pivot Occ'!$A$6:$A$21,'Pivot Occ'!I$6:I$21)</f>
        <v/>
      </c>
      <c r="N19" s="79">
        <f>IFERROR(M19/L19,0)</f>
        <v/>
      </c>
      <c r="O19" s="84">
        <f>_xlfn.XLOOKUP($B19,'Pivot Occ'!$A$6:$A$21,'Pivot Occ'!J$6:J$21)</f>
        <v/>
      </c>
      <c r="P19" s="84">
        <f>_xlfn.XLOOKUP($B19,'Pivot Occ'!$A$6:$A$21,'Pivot Occ'!K$6:K$21)</f>
        <v/>
      </c>
      <c r="Q19" s="80">
        <f>IFERROR(P19/O19,0)</f>
        <v/>
      </c>
      <c r="R19" s="85">
        <f>SUM(C19,F19,I19,L19,O19)</f>
        <v/>
      </c>
      <c r="S19" s="85">
        <f>SUM(D19,G19,J19,M19,P19)</f>
        <v/>
      </c>
      <c r="T19" s="86">
        <f>S19/R19</f>
        <v/>
      </c>
      <c r="U19" s="86" t="n">
        <v>-0.04761904761904762</v>
      </c>
      <c r="V19" s="87">
        <f>T19-U19</f>
        <v/>
      </c>
    </row>
    <row r="20" ht="17" customHeight="1" s="22">
      <c r="B20" s="13" t="inlineStr">
        <is>
          <t>YOGYA 1</t>
        </is>
      </c>
      <c r="C20" s="78">
        <f>_xlfn.XLOOKUP($B20,'Pivot Occ'!$A$6:$A$21,'Pivot Occ'!B$6:B$21)</f>
        <v/>
      </c>
      <c r="D20" s="78">
        <f>_xlfn.XLOOKUP($B20,'Pivot Occ'!$A$6:$A$21,'Pivot Occ'!C$6:C$21)</f>
        <v/>
      </c>
      <c r="E20" s="79">
        <f>IFERROR(D20/C20,"-")</f>
        <v/>
      </c>
      <c r="F20" s="78">
        <f>_xlfn.XLOOKUP($B20,'Pivot Occ'!$A$6:$A$21,'Pivot Occ'!D$6:D$21)</f>
        <v/>
      </c>
      <c r="G20" s="78">
        <f>_xlfn.XLOOKUP($B20,'Pivot Occ'!$A$6:$A$21,'Pivot Occ'!E$6:E$21)</f>
        <v/>
      </c>
      <c r="H20" s="79">
        <f>IFERROR(G20/F20,"-")</f>
        <v/>
      </c>
      <c r="I20" s="78">
        <f>_xlfn.XLOOKUP($B20,'Pivot Occ'!$A$6:$A$21,'Pivot Occ'!F$6:F$21)</f>
        <v/>
      </c>
      <c r="J20" s="78">
        <f>_xlfn.XLOOKUP($B20,'Pivot Occ'!$A$6:$A$21,'Pivot Occ'!G$6:G$21)</f>
        <v/>
      </c>
      <c r="K20" s="79">
        <f>IFERROR(J20/I20,"-")</f>
        <v/>
      </c>
      <c r="L20" s="78">
        <f>_xlfn.XLOOKUP($B20,'Pivot Occ'!$A$6:$A$21,'Pivot Occ'!H$6:H$21)</f>
        <v/>
      </c>
      <c r="M20" s="78">
        <f>_xlfn.XLOOKUP($B20,'Pivot Occ'!$A$6:$A$21,'Pivot Occ'!I$6:I$21)</f>
        <v/>
      </c>
      <c r="N20" s="79">
        <f>IFERROR(M20/L20,0)</f>
        <v/>
      </c>
      <c r="O20" s="78">
        <f>_xlfn.XLOOKUP($B20,'Pivot Occ'!$A$6:$A$21,'Pivot Occ'!J$6:J$21)</f>
        <v/>
      </c>
      <c r="P20" s="78">
        <f>_xlfn.XLOOKUP($B20,'Pivot Occ'!$A$6:$A$21,'Pivot Occ'!K$6:K$21)</f>
        <v/>
      </c>
      <c r="Q20" s="80">
        <f>IFERROR(P20/O20,0)</f>
        <v/>
      </c>
      <c r="R20" s="81">
        <f>SUM(C20,F20,I20,L20,O20)</f>
        <v/>
      </c>
      <c r="S20" s="81">
        <f>SUM(D20,G20,J20,M20,P20)</f>
        <v/>
      </c>
      <c r="T20" s="82">
        <f>S20/R20</f>
        <v/>
      </c>
      <c r="U20" s="82" t="n">
        <v>0.1142857142857143</v>
      </c>
      <c r="V20" s="83">
        <f>T20-U20</f>
        <v/>
      </c>
    </row>
    <row r="21" ht="17" customHeight="1" s="22">
      <c r="B21" s="14" t="inlineStr">
        <is>
          <t>YOGYA 2</t>
        </is>
      </c>
      <c r="C21" s="84">
        <f>_xlfn.XLOOKUP($B21,'Pivot Occ'!$A$6:$A$21,'Pivot Occ'!B$6:B$21)</f>
        <v/>
      </c>
      <c r="D21" s="84">
        <f>_xlfn.XLOOKUP($B21,'Pivot Occ'!$A$6:$A$21,'Pivot Occ'!C$6:C$21)</f>
        <v/>
      </c>
      <c r="E21" s="79">
        <f>IFERROR(D21/C21,"-")</f>
        <v/>
      </c>
      <c r="F21" s="84">
        <f>_xlfn.XLOOKUP($B21,'Pivot Occ'!$A$6:$A$21,'Pivot Occ'!D$6:D$21)</f>
        <v/>
      </c>
      <c r="G21" s="84">
        <f>_xlfn.XLOOKUP($B21,'Pivot Occ'!$A$6:$A$21,'Pivot Occ'!E$6:E$21)</f>
        <v/>
      </c>
      <c r="H21" s="79">
        <f>IFERROR(G21/F21,"-")</f>
        <v/>
      </c>
      <c r="I21" s="84">
        <f>_xlfn.XLOOKUP($B21,'Pivot Occ'!$A$6:$A$21,'Pivot Occ'!F$6:F$21)</f>
        <v/>
      </c>
      <c r="J21" s="84">
        <f>_xlfn.XLOOKUP($B21,'Pivot Occ'!$A$6:$A$21,'Pivot Occ'!G$6:G$21)</f>
        <v/>
      </c>
      <c r="K21" s="79">
        <f>IFERROR(J21/I21,"-")</f>
        <v/>
      </c>
      <c r="L21" s="84">
        <f>_xlfn.XLOOKUP($B21,'Pivot Occ'!$A$6:$A$21,'Pivot Occ'!H$6:H$21)</f>
        <v/>
      </c>
      <c r="M21" s="84">
        <f>_xlfn.XLOOKUP($B21,'Pivot Occ'!$A$6:$A$21,'Pivot Occ'!I$6:I$21)</f>
        <v/>
      </c>
      <c r="N21" s="79">
        <f>IFERROR(M21/L21,0)</f>
        <v/>
      </c>
      <c r="O21" s="84">
        <f>_xlfn.XLOOKUP($B21,'Pivot Occ'!$A$6:$A$21,'Pivot Occ'!J$6:J$21)</f>
        <v/>
      </c>
      <c r="P21" s="84">
        <f>_xlfn.XLOOKUP($B21,'Pivot Occ'!$A$6:$A$21,'Pivot Occ'!K$6:K$21)</f>
        <v/>
      </c>
      <c r="Q21" s="80">
        <f>IFERROR(P21/O21,0)</f>
        <v/>
      </c>
      <c r="R21" s="85">
        <f>SUM(C21,F21,I21,L21,O21)</f>
        <v/>
      </c>
      <c r="S21" s="85">
        <f>SUM(D21,G21,J21,M21,P21)</f>
        <v/>
      </c>
      <c r="T21" s="86">
        <f>S21/R21</f>
        <v/>
      </c>
      <c r="U21" s="86" t="n">
        <v>0.08783783783783784</v>
      </c>
      <c r="V21" s="87">
        <f>T21-U21</f>
        <v/>
      </c>
    </row>
    <row r="22" ht="17" customHeight="1" s="22">
      <c r="B22" s="15" t="n"/>
      <c r="C22" s="88" t="n"/>
      <c r="D22" s="88" t="n"/>
      <c r="E22" s="89" t="n"/>
      <c r="F22" s="88" t="n"/>
      <c r="G22" s="88" t="n"/>
      <c r="H22" s="89" t="n"/>
      <c r="I22" s="88" t="n"/>
      <c r="J22" s="88" t="n"/>
      <c r="K22" s="89" t="n"/>
      <c r="L22" s="88" t="n"/>
      <c r="M22" s="88" t="n"/>
      <c r="N22" s="89" t="n"/>
      <c r="O22" s="89" t="n"/>
      <c r="P22" s="89" t="n"/>
      <c r="Q22" s="89" t="n"/>
      <c r="R22" s="90" t="n"/>
      <c r="S22" s="90" t="n"/>
      <c r="T22" s="91" t="n"/>
      <c r="U22" s="103" t="n"/>
      <c r="V22" s="92" t="n"/>
    </row>
    <row r="23" ht="17" customHeight="1" s="22">
      <c r="B23" s="16" t="inlineStr">
        <is>
          <t>MAGELANG</t>
        </is>
      </c>
      <c r="C23" s="78">
        <f>SUM(C6:C7)</f>
        <v/>
      </c>
      <c r="D23" s="78">
        <f>SUM(D6:D7)</f>
        <v/>
      </c>
      <c r="E23" s="79">
        <f>IFERROR(D23/C23,"-")</f>
        <v/>
      </c>
      <c r="F23" s="78">
        <f>SUM(F6:F7)</f>
        <v/>
      </c>
      <c r="G23" s="78">
        <f>SUM(G6:G7)</f>
        <v/>
      </c>
      <c r="H23" s="79">
        <f>IFERROR(G23/F23,"-")</f>
        <v/>
      </c>
      <c r="I23" s="78">
        <f>SUM(I6:I7)</f>
        <v/>
      </c>
      <c r="J23" s="78">
        <f>SUM(J6:J7)</f>
        <v/>
      </c>
      <c r="K23" s="79">
        <f>IFERROR(J23/I23,0)</f>
        <v/>
      </c>
      <c r="L23" s="78">
        <f>SUM(L6:L7)</f>
        <v/>
      </c>
      <c r="M23" s="78">
        <f>SUM(M6:M7)</f>
        <v/>
      </c>
      <c r="N23" s="93">
        <f>IFERROR(M23/L23,0)</f>
        <v/>
      </c>
      <c r="O23" s="78">
        <f>SUM(O6:O7)</f>
        <v/>
      </c>
      <c r="P23" s="78">
        <f>SUM(P6:P7)</f>
        <v/>
      </c>
      <c r="Q23" s="94">
        <f>IFERROR(P23/O23,0)</f>
        <v/>
      </c>
      <c r="R23" s="81">
        <f>SUM(R6:R7)</f>
        <v/>
      </c>
      <c r="S23" s="81">
        <f>SUM(S6:S7)</f>
        <v/>
      </c>
      <c r="T23" s="82">
        <f>S23/R23</f>
        <v/>
      </c>
      <c r="U23" s="82" t="n">
        <v>0.1563071297989031</v>
      </c>
      <c r="V23" s="83">
        <f>T23-U23</f>
        <v/>
      </c>
    </row>
    <row r="24" ht="17" customHeight="1" s="22">
      <c r="B24" s="17" t="inlineStr">
        <is>
          <t>PEKALONGAN</t>
        </is>
      </c>
      <c r="C24" s="84">
        <f>SUM(C8:C10)</f>
        <v/>
      </c>
      <c r="D24" s="84">
        <f>SUM(D8:D10)</f>
        <v/>
      </c>
      <c r="E24" s="79">
        <f>IFERROR(D24/C24,"-")</f>
        <v/>
      </c>
      <c r="F24" s="84">
        <f>SUM(F8:F10)</f>
        <v/>
      </c>
      <c r="G24" s="84">
        <f>SUM(G8:G10)</f>
        <v/>
      </c>
      <c r="H24" s="79">
        <f>IFERROR(G24/F24,"-")</f>
        <v/>
      </c>
      <c r="I24" s="84">
        <f>SUM(I8:I10)</f>
        <v/>
      </c>
      <c r="J24" s="84">
        <f>SUM(J8:J10)</f>
        <v/>
      </c>
      <c r="K24" s="93">
        <f>IFERROR(J24/I24,0)</f>
        <v/>
      </c>
      <c r="L24" s="84">
        <f>SUM(L8:L10)</f>
        <v/>
      </c>
      <c r="M24" s="84">
        <f>SUM(M8:M10)</f>
        <v/>
      </c>
      <c r="N24" s="93">
        <f>IFERROR(M24/L24,0)</f>
        <v/>
      </c>
      <c r="O24" s="84">
        <f>SUM(O8:O10)</f>
        <v/>
      </c>
      <c r="P24" s="84">
        <f>SUM(P8:P10)</f>
        <v/>
      </c>
      <c r="Q24" s="94">
        <f>IFERROR(P24/O24,0)</f>
        <v/>
      </c>
      <c r="R24" s="85">
        <f>SUM(R8:R10)</f>
        <v/>
      </c>
      <c r="S24" s="85">
        <f>SUM(S8:S10)</f>
        <v/>
      </c>
      <c r="T24" s="86">
        <f>S24/R24</f>
        <v/>
      </c>
      <c r="U24" s="86" t="n">
        <v>0.108739837398374</v>
      </c>
      <c r="V24" s="87">
        <f>T24-U24</f>
        <v/>
      </c>
    </row>
    <row r="25" ht="17" customHeight="1" s="22">
      <c r="B25" s="16" t="inlineStr">
        <is>
          <t>PURWOKERTO</t>
        </is>
      </c>
      <c r="C25" s="78">
        <f>SUM(C11:C12)</f>
        <v/>
      </c>
      <c r="D25" s="78">
        <f>SUM(D11:D12)</f>
        <v/>
      </c>
      <c r="E25" s="79">
        <f>IFERROR(D25/C25,"-")</f>
        <v/>
      </c>
      <c r="F25" s="78">
        <f>SUM(F11:F12)</f>
        <v/>
      </c>
      <c r="G25" s="78">
        <f>SUM(G11:G12)</f>
        <v/>
      </c>
      <c r="H25" s="79">
        <f>IFERROR(G25/F25,"-")</f>
        <v/>
      </c>
      <c r="I25" s="78">
        <f>SUM(I11:I12)</f>
        <v/>
      </c>
      <c r="J25" s="78">
        <f>SUM(J11:J12)</f>
        <v/>
      </c>
      <c r="K25" s="79">
        <f>IFERROR(J25/I25,0)</f>
        <v/>
      </c>
      <c r="L25" s="78">
        <f>SUM(L11:L12)</f>
        <v/>
      </c>
      <c r="M25" s="78">
        <f>SUM(M11:M12)</f>
        <v/>
      </c>
      <c r="N25" s="79">
        <f>IFERROR(M25/L25,0)</f>
        <v/>
      </c>
      <c r="O25" s="78">
        <f>SUM(O11:O12)</f>
        <v/>
      </c>
      <c r="P25" s="78">
        <f>SUM(P11:P12)</f>
        <v/>
      </c>
      <c r="Q25" s="80">
        <f>IFERROR(P25/O25,0)</f>
        <v/>
      </c>
      <c r="R25" s="81">
        <f>SUM(R11:R12)</f>
        <v/>
      </c>
      <c r="S25" s="81">
        <f>SUM(S11:S12)</f>
        <v/>
      </c>
      <c r="T25" s="82">
        <f>S25/R25</f>
        <v/>
      </c>
      <c r="U25" s="82" t="n">
        <v>0.08992094861660078</v>
      </c>
      <c r="V25" s="83">
        <f>T25-U25</f>
        <v/>
      </c>
    </row>
    <row r="26" ht="17" customHeight="1" s="22">
      <c r="B26" s="17" t="inlineStr">
        <is>
          <t>SEMARANG</t>
        </is>
      </c>
      <c r="C26" s="84">
        <f>SUM(C13:C16)</f>
        <v/>
      </c>
      <c r="D26" s="84">
        <f>SUM(D13:D16)</f>
        <v/>
      </c>
      <c r="E26" s="79">
        <f>IFERROR(D26/C26,"-")</f>
        <v/>
      </c>
      <c r="F26" s="84">
        <f>SUM(F13:F16)</f>
        <v/>
      </c>
      <c r="G26" s="84">
        <f>SUM(G13:G16)</f>
        <v/>
      </c>
      <c r="H26" s="79">
        <f>IFERROR(G26/F26,"-")</f>
        <v/>
      </c>
      <c r="I26" s="84">
        <f>SUM(I13:I16)</f>
        <v/>
      </c>
      <c r="J26" s="84">
        <f>SUM(J13:J16)</f>
        <v/>
      </c>
      <c r="K26" s="93">
        <f>IFERROR(J26/I26,0)</f>
        <v/>
      </c>
      <c r="L26" s="84">
        <f>SUM(L13:L16)</f>
        <v/>
      </c>
      <c r="M26" s="84">
        <f>SUM(M13:M16)</f>
        <v/>
      </c>
      <c r="N26" s="93">
        <f>IFERROR(M26/L26,0)</f>
        <v/>
      </c>
      <c r="O26" s="84">
        <f>SUM(O13:O16)</f>
        <v/>
      </c>
      <c r="P26" s="84">
        <f>SUM(P13:P16)</f>
        <v/>
      </c>
      <c r="Q26" s="94">
        <f>IFERROR(P26/O26,0)</f>
        <v/>
      </c>
      <c r="R26" s="85">
        <f>SUM(R13:R16)</f>
        <v/>
      </c>
      <c r="S26" s="85">
        <f>SUM(S13:S16)</f>
        <v/>
      </c>
      <c r="T26" s="86">
        <f>S26/R26</f>
        <v/>
      </c>
      <c r="U26" s="86" t="n">
        <v>0.07899305555555555</v>
      </c>
      <c r="V26" s="87">
        <f>T26-U26</f>
        <v/>
      </c>
    </row>
    <row r="27" ht="17" customHeight="1" s="22">
      <c r="B27" s="16" t="inlineStr">
        <is>
          <t>SURAKARTA</t>
        </is>
      </c>
      <c r="C27" s="78">
        <f>SUM(C17:C19)</f>
        <v/>
      </c>
      <c r="D27" s="78">
        <f>SUM(D17:D19)</f>
        <v/>
      </c>
      <c r="E27" s="79">
        <f>IFERROR(D27/C27,"-")</f>
        <v/>
      </c>
      <c r="F27" s="78">
        <f>SUM(F17:F19)</f>
        <v/>
      </c>
      <c r="G27" s="78">
        <f>SUM(G17:G19)</f>
        <v/>
      </c>
      <c r="H27" s="79">
        <f>IFERROR(G27/F27,"-")</f>
        <v/>
      </c>
      <c r="I27" s="78">
        <f>SUM(I17:I19)</f>
        <v/>
      </c>
      <c r="J27" s="78">
        <f>SUM(J17:J19)</f>
        <v/>
      </c>
      <c r="K27" s="79">
        <f>IFERROR(J27/I27,0)</f>
        <v/>
      </c>
      <c r="L27" s="78">
        <f>SUM(L17:L19)</f>
        <v/>
      </c>
      <c r="M27" s="78">
        <f>SUM(M17:M19)</f>
        <v/>
      </c>
      <c r="N27" s="79">
        <f>IFERROR(M27/L27,0)</f>
        <v/>
      </c>
      <c r="O27" s="78">
        <f>SUM(O17:O19)</f>
        <v/>
      </c>
      <c r="P27" s="78">
        <f>SUM(P17:P19)</f>
        <v/>
      </c>
      <c r="Q27" s="80">
        <f>IFERROR(P27/O27,0)</f>
        <v/>
      </c>
      <c r="R27" s="81">
        <f>SUM(R17:R19)</f>
        <v/>
      </c>
      <c r="S27" s="81">
        <f>SUM(S17:S19)</f>
        <v/>
      </c>
      <c r="T27" s="82">
        <f>S27/R27</f>
        <v/>
      </c>
      <c r="U27" s="82" t="n">
        <v>0.1892857142857143</v>
      </c>
      <c r="V27" s="83">
        <f>T27-U27</f>
        <v/>
      </c>
    </row>
    <row r="28" ht="17" customHeight="1" s="22">
      <c r="B28" s="17" t="inlineStr">
        <is>
          <t>YOGYAKARTA</t>
        </is>
      </c>
      <c r="C28" s="84">
        <f>SUM(C20:C21)</f>
        <v/>
      </c>
      <c r="D28" s="84">
        <f>SUM(D20:D21)</f>
        <v/>
      </c>
      <c r="E28" s="79">
        <f>IFERROR(D28/C28,"-")</f>
        <v/>
      </c>
      <c r="F28" s="84">
        <f>SUM(F20:F21)</f>
        <v/>
      </c>
      <c r="G28" s="84">
        <f>SUM(G20:G21)</f>
        <v/>
      </c>
      <c r="H28" s="79">
        <f>IFERROR(G28/F28,"-")</f>
        <v/>
      </c>
      <c r="I28" s="84">
        <f>SUM(I20:I21)</f>
        <v/>
      </c>
      <c r="J28" s="84">
        <f>SUM(J20:J21)</f>
        <v/>
      </c>
      <c r="K28" s="93">
        <f>IFERROR(J28/I28,0)</f>
        <v/>
      </c>
      <c r="L28" s="84">
        <f>SUM(L20:L21)</f>
        <v/>
      </c>
      <c r="M28" s="84">
        <f>SUM(M20:M21)</f>
        <v/>
      </c>
      <c r="N28" s="79">
        <f>IFERROR(M28/L28,0)</f>
        <v/>
      </c>
      <c r="O28" s="84">
        <f>SUM(O20:O21)</f>
        <v/>
      </c>
      <c r="P28" s="84">
        <f>SUM(P20:P21)</f>
        <v/>
      </c>
      <c r="Q28" s="80">
        <f>IFERROR(P28/O28,0)</f>
        <v/>
      </c>
      <c r="R28" s="85">
        <f>SUM(R20:R21)</f>
        <v/>
      </c>
      <c r="S28" s="85">
        <f>SUM(S20:S21)</f>
        <v/>
      </c>
      <c r="T28" s="86">
        <f>S28/R28</f>
        <v/>
      </c>
      <c r="U28" s="86" t="n">
        <v>0.104020979020979</v>
      </c>
      <c r="V28" s="87">
        <f>T28-U28</f>
        <v/>
      </c>
    </row>
    <row r="29" ht="17" customHeight="1" s="22">
      <c r="B29" s="18" t="inlineStr">
        <is>
          <t>Jateng DIY</t>
        </is>
      </c>
      <c r="C29" s="95">
        <f>SUM(C23:C28)</f>
        <v/>
      </c>
      <c r="D29" s="95">
        <f>SUM(D23:D28)</f>
        <v/>
      </c>
      <c r="E29" s="96">
        <f>IFERROR(D29/C29,0)</f>
        <v/>
      </c>
      <c r="F29" s="95">
        <f>SUM(F23:F28)</f>
        <v/>
      </c>
      <c r="G29" s="95">
        <f>SUM(G23:G28)</f>
        <v/>
      </c>
      <c r="H29" s="96">
        <f>IFERROR(G29/F29,0)</f>
        <v/>
      </c>
      <c r="I29" s="95">
        <f>SUM(I23:I28)</f>
        <v/>
      </c>
      <c r="J29" s="95">
        <f>SUM(J23:J28)</f>
        <v/>
      </c>
      <c r="K29" s="96">
        <f>IFERROR(J29/I29,0)</f>
        <v/>
      </c>
      <c r="L29" s="95">
        <f>SUM(L23:L28)</f>
        <v/>
      </c>
      <c r="M29" s="95">
        <f>SUM(M23:M28)</f>
        <v/>
      </c>
      <c r="N29" s="96">
        <f>IFERROR(M29/L29,0)</f>
        <v/>
      </c>
      <c r="O29" s="95">
        <f>SUM(O23:O28)</f>
        <v/>
      </c>
      <c r="P29" s="95">
        <f>SUM(P23:P28)</f>
        <v/>
      </c>
      <c r="Q29" s="97">
        <f>IFERROR(P29/O29,0)</f>
        <v/>
      </c>
      <c r="R29" s="98">
        <f>SUM(R23:R28)</f>
        <v/>
      </c>
      <c r="S29" s="98">
        <f>SUM(S23:S28)</f>
        <v/>
      </c>
      <c r="T29" s="51">
        <f>S29/R29</f>
        <v/>
      </c>
      <c r="U29" s="51" t="n">
        <v>0.1106123049749779</v>
      </c>
      <c r="V29" s="99">
        <f>T29-U29</f>
        <v/>
      </c>
    </row>
  </sheetData>
  <mergeCells count="8">
    <mergeCell ref="C3:V3"/>
    <mergeCell ref="O4:Q4"/>
    <mergeCell ref="R4:T4"/>
    <mergeCell ref="C4:E4"/>
    <mergeCell ref="F4:H4"/>
    <mergeCell ref="I4:K4"/>
    <mergeCell ref="B3:B5"/>
    <mergeCell ref="L4:N4"/>
  </mergeCells>
  <conditionalFormatting sqref="E6:E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6:H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3:H2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6:K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3:K2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6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3:N2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6:Q21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3:Q2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6:U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3:U2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willybrordus_b_satria</dc:creator>
  <dcterms:created xsi:type="dcterms:W3CDTF">2026-07-20T04:23:28Z</dcterms:created>
  <dcterms:modified xsi:type="dcterms:W3CDTF">2026-07-21T07:53:19Z</dcterms:modified>
  <cp:lastModifiedBy>willybrordus_b_satria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5caaddc-90a0-4995-b524-c269e4395a58_Enabled" fmtid="{D5CDD505-2E9C-101B-9397-08002B2CF9AE}" pid="2">
    <vt:lpwstr>true</vt:lpwstr>
  </property>
  <property name="MSIP_Label_d5caaddc-90a0-4995-b524-c269e4395a58_SetDate" fmtid="{D5CDD505-2E9C-101B-9397-08002B2CF9AE}" pid="3">
    <vt:lpwstr>2026-07-20T05:48:13Z</vt:lpwstr>
  </property>
  <property name="MSIP_Label_d5caaddc-90a0-4995-b524-c269e4395a58_Method" fmtid="{D5CDD505-2E9C-101B-9397-08002B2CF9AE}" pid="4">
    <vt:lpwstr>Standard</vt:lpwstr>
  </property>
  <property name="MSIP_Label_d5caaddc-90a0-4995-b524-c269e4395a58_Name" fmtid="{D5CDD505-2E9C-101B-9397-08002B2CF9AE}" pid="5">
    <vt:lpwstr>Internal</vt:lpwstr>
  </property>
  <property name="MSIP_Label_d5caaddc-90a0-4995-b524-c269e4395a58_SiteId" fmtid="{D5CDD505-2E9C-101B-9397-08002B2CF9AE}" pid="6">
    <vt:lpwstr>fc743075-93ed-4a5c-82c0-ca5eac914220</vt:lpwstr>
  </property>
  <property name="MSIP_Label_d5caaddc-90a0-4995-b524-c269e4395a58_ActionId" fmtid="{D5CDD505-2E9C-101B-9397-08002B2CF9AE}" pid="7">
    <vt:lpwstr>e3e50e5a-09ba-4789-b12c-8cfeed3ff298</vt:lpwstr>
  </property>
  <property name="MSIP_Label_d5caaddc-90a0-4995-b524-c269e4395a58_ContentBits" fmtid="{D5CDD505-2E9C-101B-9397-08002B2CF9AE}" pid="8">
    <vt:lpwstr>2</vt:lpwstr>
  </property>
  <property name="MSIP_Label_d5caaddc-90a0-4995-b524-c269e4395a58_Tag" fmtid="{D5CDD505-2E9C-101B-9397-08002B2CF9AE}" pid="9">
    <vt:lpwstr>10, 3, 0, 1</vt:lpwstr>
  </property>
</Properties>
</file>